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NREG\Documents\PENGANGKATAN\Update Dashboard\27022026\"/>
    </mc:Choice>
  </mc:AlternateContent>
  <xr:revisionPtr revIDLastSave="0" documentId="13_ncr:1_{39F53433-C1CD-45C7-BCDF-5F3C4034D4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P3" i="1"/>
  <c r="N3" i="1"/>
  <c r="J3" i="1"/>
  <c r="G3" i="1"/>
  <c r="H3" i="1"/>
  <c r="I3" i="1"/>
  <c r="F3" i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J4" i="1"/>
  <c r="L3" i="1"/>
  <c r="J12" i="1"/>
  <c r="K12" i="1" s="1"/>
  <c r="M12" i="1"/>
  <c r="P12" i="1"/>
  <c r="Q12" i="1" s="1"/>
  <c r="P5" i="1"/>
  <c r="P6" i="1"/>
  <c r="P7" i="1"/>
  <c r="P8" i="1"/>
  <c r="P9" i="1"/>
  <c r="P10" i="1"/>
  <c r="P11" i="1"/>
  <c r="P4" i="1"/>
  <c r="J11" i="1" l="1"/>
  <c r="J10" i="1"/>
  <c r="J9" i="1"/>
  <c r="J8" i="1"/>
  <c r="J7" i="1"/>
  <c r="J6" i="1"/>
  <c r="J5" i="1"/>
  <c r="M4" i="1" l="1"/>
  <c r="Q4" i="1"/>
  <c r="K5" i="1"/>
  <c r="M5" i="1"/>
  <c r="Q5" i="1"/>
  <c r="K6" i="1"/>
  <c r="M6" i="1"/>
  <c r="Q6" i="1"/>
  <c r="K4" i="1" l="1"/>
  <c r="Q11" i="1"/>
  <c r="M11" i="1"/>
  <c r="K11" i="1"/>
  <c r="Q10" i="1"/>
  <c r="M10" i="1"/>
  <c r="K10" i="1"/>
  <c r="Q9" i="1"/>
  <c r="M9" i="1"/>
  <c r="K9" i="1"/>
  <c r="Q8" i="1"/>
  <c r="M8" i="1"/>
  <c r="K8" i="1"/>
  <c r="Q7" i="1"/>
  <c r="M7" i="1"/>
  <c r="K7" i="1"/>
  <c r="K3" i="1" l="1"/>
  <c r="O3" i="1"/>
  <c r="Q3" i="1"/>
  <c r="M3" i="1"/>
</calcChain>
</file>

<file path=xl/sharedStrings.xml><?xml version="1.0" encoding="utf-8"?>
<sst xmlns="http://schemas.openxmlformats.org/spreadsheetml/2006/main" count="135" uniqueCount="41">
  <si>
    <t>No</t>
  </si>
  <si>
    <t>Instansi</t>
  </si>
  <si>
    <t>Formasi</t>
  </si>
  <si>
    <t>Kewenangan BKN</t>
  </si>
  <si>
    <t>Kewenangan Instansi</t>
  </si>
  <si>
    <t>Keterangan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</si>
  <si>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</si>
  <si>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</si>
  <si>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</si>
  <si>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</si>
  <si>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</si>
  <si>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</si>
  <si>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</si>
  <si>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</si>
  <si>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</si>
  <si>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</si>
  <si>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</si>
  <si>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</si>
  <si>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</si>
  <si>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</si>
  <si>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</si>
  <si>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100.0 %</t>
  </si>
  <si>
    <t>v</t>
  </si>
  <si>
    <t>Pemerintah Kab. Cianjur</t>
  </si>
  <si>
    <t>Pemerintah Kab. Subang</t>
  </si>
  <si>
    <t>Pemerintah Kota Bogor</t>
  </si>
  <si>
    <t>Pemerintah Kab. Bandung</t>
  </si>
  <si>
    <t>Pemerintah Kota Bandung</t>
  </si>
  <si>
    <t>Pemerintah Kota Sukabumi</t>
  </si>
  <si>
    <t>Pemerintah Kab. Tangerang</t>
  </si>
  <si>
    <t>belum terisi</t>
  </si>
  <si>
    <t>pembatalan pertek</t>
  </si>
  <si>
    <t>Pemerintah Kota Tangerang</t>
  </si>
  <si>
    <t>Proses Penetapan SK STTD</t>
  </si>
  <si>
    <t>Penetapan SK STTD Selesai</t>
  </si>
  <si>
    <t>Penyerahan SK STTD Selesai</t>
  </si>
  <si>
    <t>Pemerintah Kab. Indramayu</t>
  </si>
  <si>
    <t>Pemerintah Kab. Karawang</t>
  </si>
  <si>
    <t>Pemerintah Kab. Sukabumi</t>
  </si>
  <si>
    <t>Pemerintah Kab. Tasikmalaya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</si>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</sst>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8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" fontId="0" fillId="4" borderId="1" xfId="0" applyNumberFormat="1" applyFill="1" applyBorder="1"/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4" applyFont="1" applyBorder="1"/>
    <xf numFmtId="0" fontId="0" fillId="0" borderId="1" xfId="0" applyBorder="1"/>
    <xf numFmtId="164" fontId="5" fillId="4" borderId="1" xfId="1" applyNumberFormat="1" applyFont="1" applyFill="1" applyBorder="1"/>
    <xf numFmtId="1" fontId="0" fillId="0" borderId="1" xfId="0" applyNumberForma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 vertical="center" wrapText="1"/>
    </xf>
    <xf numFmtId="1" fontId="0" fillId="0" borderId="2" xfId="0" applyNumberFormat="1" applyBorder="1" applyAlignment="1">
      <alignment horizontal="center"/>
    </xf>
    <xf numFmtId="1" fontId="9" fillId="4" borderId="1" xfId="4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B90C94B9-110F-4230-B4EA-9682BB2E7DF0}"/>
    <cellStyle name="Normal 3" xfId="4" xr:uid="{1BB5413B-F2CA-47FD-B23C-00CBB9C50B4F}"/>
    <cellStyle name="Percent" xfId="1" builtinId="5"/>
    <cellStyle name="Percent 2" xfId="3" xr:uid="{B56EAAB5-514B-44CA-92F9-61A4A0B5506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workbookViewId="0">
      <selection activeCell="C3" sqref="C3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20" t="s">
        <v>0</v>
      </c>
      <c r="B1" s="21" t="s">
        <v>1</v>
      </c>
      <c r="C1" s="22" t="s">
        <v>2</v>
      </c>
      <c r="D1" s="31" t="s">
        <v>30</v>
      </c>
      <c r="E1" s="31" t="s">
        <v>31</v>
      </c>
      <c r="F1" s="25" t="s">
        <v>3</v>
      </c>
      <c r="G1" s="26"/>
      <c r="H1" s="26"/>
      <c r="I1" s="26"/>
      <c r="J1" s="26"/>
      <c r="K1" s="26"/>
      <c r="L1" s="26"/>
      <c r="M1" s="27"/>
      <c r="N1" s="20" t="s">
        <v>4</v>
      </c>
      <c r="O1" s="20"/>
      <c r="P1" s="20"/>
      <c r="Q1" s="20"/>
      <c r="R1" s="23" t="s">
        <v>5</v>
      </c>
      <c r="S1" s="24" t="s">
        <v>33</v>
      </c>
      <c r="T1" s="24" t="s">
        <v>34</v>
      </c>
      <c r="U1" s="24" t="s">
        <v>6</v>
      </c>
      <c r="V1" s="24" t="s">
        <v>7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35</v>
      </c>
    </row>
    <row r="2" spans="1:27">
      <c r="A2" s="20"/>
      <c r="B2" s="21"/>
      <c r="C2" s="22"/>
      <c r="D2" s="32"/>
      <c r="E2" s="32"/>
      <c r="F2" s="1" t="s">
        <v>12</v>
      </c>
      <c r="G2" s="1" t="s">
        <v>13</v>
      </c>
      <c r="H2" s="1" t="s">
        <v>14</v>
      </c>
      <c r="I2" s="1" t="s">
        <v>15</v>
      </c>
      <c r="J2" s="28" t="s">
        <v>16</v>
      </c>
      <c r="K2" s="29"/>
      <c r="L2" s="30" t="s">
        <v>17</v>
      </c>
      <c r="M2" s="30"/>
      <c r="N2" s="30" t="s">
        <v>18</v>
      </c>
      <c r="O2" s="30"/>
      <c r="P2" s="28" t="s">
        <v>19</v>
      </c>
      <c r="Q2" s="28"/>
      <c r="R2" s="23"/>
      <c r="S2" s="24"/>
      <c r="T2" s="24"/>
      <c r="U2" s="24"/>
      <c r="V2" s="24"/>
      <c r="W2" s="24"/>
      <c r="X2" s="24"/>
      <c r="Y2" s="24"/>
      <c r="Z2" s="24"/>
      <c r="AA2" s="24"/>
    </row>
    <row r="3" spans="1:27">
      <c r="A3" s="20"/>
      <c r="B3" s="2" t="s">
        <v>20</v>
      </c>
      <c r="C3" s="3">
        <f>SUM(C4:C16)</f>
        <v>44</v>
      </c>
      <c r="D3" s="3"/>
      <c r="E3" s="3"/>
      <c r="F3" s="3">
        <f>SUM(F4:F16)</f>
        <v>44</v>
      </c>
      <c r="G3" s="3">
        <f t="shared" ref="G3:I3" si="0">SUM(G4:G16)</f>
        <v>44</v>
      </c>
      <c r="H3" s="3">
        <f t="shared" si="0"/>
        <v>0</v>
      </c>
      <c r="I3" s="3">
        <f t="shared" si="0"/>
        <v>0</v>
      </c>
      <c r="J3" s="4">
        <f>SUM(J4:J16)</f>
        <v>44</v>
      </c>
      <c r="K3" s="7">
        <f>J3/F3</f>
        <v>1</v>
      </c>
      <c r="L3" s="3">
        <f>SUM(L4:L12)</f>
        <v>0</v>
      </c>
      <c r="M3" s="7">
        <f>L3/F3</f>
        <v>0</v>
      </c>
      <c r="N3" s="3">
        <f>SUM(N4:N16)</f>
        <v>36</v>
      </c>
      <c r="O3" s="8">
        <f>N3/F3</f>
        <v>0.81818181818181823</v>
      </c>
      <c r="P3" s="4">
        <f>SUM(P4:P16)</f>
        <v>8</v>
      </c>
      <c r="Q3" s="7">
        <f>P3/F3</f>
        <v>0.18181818181818182</v>
      </c>
      <c r="R3" s="9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8">
        <v>1</v>
      </c>
      <c r="B4" s="13" t="s">
        <v>26</v>
      </c>
      <c r="C4" s="13">
        <v>2</v>
      </c>
      <c r="D4" s="5"/>
      <c r="E4" s="5"/>
      <c r="F4" s="17">
        <v>2</v>
      </c>
      <c r="G4" s="15">
        <v>2</v>
      </c>
      <c r="H4" s="15">
        <v>0</v>
      </c>
      <c r="I4" s="13">
        <v>0</v>
      </c>
      <c r="J4" s="6">
        <f>SUM(G4:I4)</f>
        <v>2</v>
      </c>
      <c r="K4" s="10">
        <f>J4/F4</f>
        <v>1</v>
      </c>
      <c r="L4" s="15">
        <v>0</v>
      </c>
      <c r="M4" s="14">
        <f>L4/F4</f>
        <v>0</v>
      </c>
      <c r="N4" s="12">
        <v>2</v>
      </c>
      <c r="O4" s="13" t="s">
        <v>21</v>
      </c>
      <c r="P4" s="19">
        <f>G4-N4</f>
        <v>0</v>
      </c>
      <c r="Q4" s="10">
        <f>P4/F4</f>
        <v>0</v>
      </c>
      <c r="R4" s="13"/>
      <c r="S4" s="16" t="s">
        <v>22</v>
      </c>
      <c r="T4" s="16" t="s">
        <v>22</v>
      </c>
      <c r="U4" s="16" t="s">
        <v>22</v>
      </c>
      <c r="V4" s="16" t="s">
        <v>22</v>
      </c>
      <c r="W4" s="16" t="s">
        <v>22</v>
      </c>
      <c r="X4" s="16" t="s">
        <v>22</v>
      </c>
      <c r="Y4" s="16" t="s">
        <v>22</v>
      </c>
      <c r="Z4" s="16"/>
      <c r="AA4" s="16"/>
    </row>
    <row r="5" spans="1:27">
      <c r="A5" s="18">
        <v>2</v>
      </c>
      <c r="B5" s="13" t="s">
        <v>23</v>
      </c>
      <c r="C5" s="13">
        <v>3</v>
      </c>
      <c r="D5" s="5"/>
      <c r="E5" s="5"/>
      <c r="F5" s="17">
        <v>3</v>
      </c>
      <c r="G5" s="15">
        <v>3</v>
      </c>
      <c r="H5" s="15">
        <v>0</v>
      </c>
      <c r="I5" s="13">
        <v>0</v>
      </c>
      <c r="J5" s="6">
        <f t="shared" ref="J5:J11" si="1">SUM(G5:I5)</f>
        <v>3</v>
      </c>
      <c r="K5" s="10">
        <f t="shared" ref="K5:K11" si="2">J5/F5</f>
        <v>1</v>
      </c>
      <c r="L5" s="15">
        <v>0</v>
      </c>
      <c r="M5" s="14">
        <f t="shared" ref="M5:M11" si="3">L5/F5</f>
        <v>0</v>
      </c>
      <c r="N5" s="12">
        <v>3</v>
      </c>
      <c r="O5" s="13" t="s">
        <v>21</v>
      </c>
      <c r="P5" s="19">
        <f t="shared" ref="P5:P11" si="4">G5-N5</f>
        <v>0</v>
      </c>
      <c r="Q5" s="10">
        <f t="shared" ref="Q5:Q11" si="5">P5/F5</f>
        <v>0</v>
      </c>
      <c r="R5" s="13"/>
      <c r="S5" s="16" t="s">
        <v>22</v>
      </c>
      <c r="T5" s="16" t="s">
        <v>22</v>
      </c>
      <c r="U5" s="16" t="s">
        <v>22</v>
      </c>
      <c r="V5" s="16" t="s">
        <v>22</v>
      </c>
      <c r="W5" s="16" t="s">
        <v>22</v>
      </c>
      <c r="X5" s="16" t="s">
        <v>22</v>
      </c>
      <c r="Y5" s="16" t="s">
        <v>22</v>
      </c>
      <c r="Z5" s="16"/>
      <c r="AA5" s="16"/>
    </row>
    <row r="6" spans="1:27">
      <c r="A6" s="18">
        <v>3</v>
      </c>
      <c r="B6" s="13" t="s">
        <v>36</v>
      </c>
      <c r="C6" s="13">
        <v>3</v>
      </c>
      <c r="D6" s="5"/>
      <c r="E6" s="5"/>
      <c r="F6" s="17">
        <v>3</v>
      </c>
      <c r="G6" s="15">
        <v>3</v>
      </c>
      <c r="H6" s="15">
        <v>0</v>
      </c>
      <c r="I6" s="13">
        <v>0</v>
      </c>
      <c r="J6" s="6">
        <f t="shared" si="1"/>
        <v>3</v>
      </c>
      <c r="K6" s="10">
        <f t="shared" si="2"/>
        <v>1</v>
      </c>
      <c r="L6" s="15">
        <v>0</v>
      </c>
      <c r="M6" s="14">
        <f t="shared" si="3"/>
        <v>0</v>
      </c>
      <c r="N6" s="12">
        <v>3</v>
      </c>
      <c r="O6" s="13" t="s">
        <v>21</v>
      </c>
      <c r="P6" s="19">
        <f t="shared" si="4"/>
        <v>0</v>
      </c>
      <c r="Q6" s="10">
        <f t="shared" si="5"/>
        <v>0</v>
      </c>
      <c r="R6" s="13"/>
      <c r="S6" s="16" t="s">
        <v>22</v>
      </c>
      <c r="T6" s="16" t="s">
        <v>22</v>
      </c>
      <c r="U6" s="16" t="s">
        <v>22</v>
      </c>
      <c r="V6" s="16" t="s">
        <v>22</v>
      </c>
      <c r="W6" s="16" t="s">
        <v>22</v>
      </c>
      <c r="X6" s="16" t="s">
        <v>22</v>
      </c>
      <c r="Y6" s="16" t="s">
        <v>22</v>
      </c>
      <c r="Z6" s="16"/>
      <c r="AA6" s="16"/>
    </row>
    <row r="7" spans="1:27">
      <c r="A7" s="18">
        <v>4</v>
      </c>
      <c r="B7" s="13" t="s">
        <v>37</v>
      </c>
      <c r="C7" s="13">
        <v>1</v>
      </c>
      <c r="D7" s="5"/>
      <c r="E7" s="5"/>
      <c r="F7" s="17">
        <v>1</v>
      </c>
      <c r="G7" s="15">
        <v>1</v>
      </c>
      <c r="H7" s="15">
        <v>0</v>
      </c>
      <c r="I7" s="13">
        <v>0</v>
      </c>
      <c r="J7" s="6">
        <f t="shared" si="1"/>
        <v>1</v>
      </c>
      <c r="K7" s="10">
        <f t="shared" si="2"/>
        <v>1</v>
      </c>
      <c r="L7" s="15">
        <v>0</v>
      </c>
      <c r="M7" s="14">
        <f t="shared" si="3"/>
        <v>0</v>
      </c>
      <c r="N7" s="12">
        <v>0</v>
      </c>
      <c r="O7" s="13" t="s">
        <v>21</v>
      </c>
      <c r="P7" s="19">
        <f t="shared" si="4"/>
        <v>1</v>
      </c>
      <c r="Q7" s="10">
        <f t="shared" si="5"/>
        <v>1</v>
      </c>
      <c r="R7" s="13"/>
      <c r="S7" s="16" t="s">
        <v>22</v>
      </c>
      <c r="T7" s="16" t="s">
        <v>22</v>
      </c>
      <c r="U7" s="16" t="s">
        <v>22</v>
      </c>
      <c r="V7" s="16" t="s">
        <v>22</v>
      </c>
      <c r="W7" s="16" t="s">
        <v>22</v>
      </c>
      <c r="X7" s="16"/>
      <c r="Y7" s="16"/>
      <c r="Z7" s="16"/>
      <c r="AA7" s="16"/>
    </row>
    <row r="8" spans="1:27">
      <c r="A8" s="18">
        <v>5</v>
      </c>
      <c r="B8" s="13" t="s">
        <v>24</v>
      </c>
      <c r="C8" s="13">
        <v>6</v>
      </c>
      <c r="D8" s="5"/>
      <c r="E8" s="5"/>
      <c r="F8" s="17">
        <v>6</v>
      </c>
      <c r="G8" s="15">
        <v>6</v>
      </c>
      <c r="H8" s="15">
        <v>0</v>
      </c>
      <c r="I8" s="13">
        <v>0</v>
      </c>
      <c r="J8" s="6">
        <f t="shared" si="1"/>
        <v>6</v>
      </c>
      <c r="K8" s="10">
        <f t="shared" si="2"/>
        <v>1</v>
      </c>
      <c r="L8" s="15">
        <v>0</v>
      </c>
      <c r="M8" s="14">
        <f t="shared" si="3"/>
        <v>0</v>
      </c>
      <c r="N8" s="12">
        <v>6</v>
      </c>
      <c r="O8" s="13" t="s">
        <v>21</v>
      </c>
      <c r="P8" s="19">
        <f t="shared" si="4"/>
        <v>0</v>
      </c>
      <c r="Q8" s="10">
        <f t="shared" si="5"/>
        <v>0</v>
      </c>
      <c r="R8" s="13"/>
      <c r="S8" s="16" t="s">
        <v>22</v>
      </c>
      <c r="T8" s="16" t="s">
        <v>22</v>
      </c>
      <c r="U8" s="16" t="s">
        <v>22</v>
      </c>
      <c r="V8" s="16" t="s">
        <v>22</v>
      </c>
      <c r="W8" s="16" t="s">
        <v>22</v>
      </c>
      <c r="X8" s="16" t="s">
        <v>22</v>
      </c>
      <c r="Y8" s="16" t="s">
        <v>22</v>
      </c>
      <c r="Z8" s="16"/>
      <c r="AA8" s="16"/>
    </row>
    <row r="9" spans="1:27">
      <c r="A9" s="18">
        <v>6</v>
      </c>
      <c r="B9" s="13" t="s">
        <v>38</v>
      </c>
      <c r="C9" s="13">
        <v>2</v>
      </c>
      <c r="D9" s="5"/>
      <c r="E9" s="5"/>
      <c r="F9" s="17">
        <v>2</v>
      </c>
      <c r="G9" s="15">
        <v>2</v>
      </c>
      <c r="H9" s="15">
        <v>0</v>
      </c>
      <c r="I9" s="13">
        <v>0</v>
      </c>
      <c r="J9" s="6">
        <f t="shared" si="1"/>
        <v>2</v>
      </c>
      <c r="K9" s="10">
        <f t="shared" si="2"/>
        <v>1</v>
      </c>
      <c r="L9" s="15">
        <v>0</v>
      </c>
      <c r="M9" s="14">
        <f t="shared" si="3"/>
        <v>0</v>
      </c>
      <c r="N9" s="12">
        <v>2</v>
      </c>
      <c r="O9" s="13" t="s">
        <v>21</v>
      </c>
      <c r="P9" s="19">
        <f t="shared" si="4"/>
        <v>0</v>
      </c>
      <c r="Q9" s="10">
        <f t="shared" si="5"/>
        <v>0</v>
      </c>
      <c r="R9" s="13"/>
      <c r="S9" s="16" t="s">
        <v>22</v>
      </c>
      <c r="T9" s="16" t="s">
        <v>22</v>
      </c>
      <c r="U9" s="16" t="s">
        <v>22</v>
      </c>
      <c r="V9" s="16" t="s">
        <v>22</v>
      </c>
      <c r="W9" s="16" t="s">
        <v>22</v>
      </c>
      <c r="X9" s="16" t="s">
        <v>22</v>
      </c>
      <c r="Y9" s="16" t="s">
        <v>22</v>
      </c>
      <c r="Z9" s="16"/>
      <c r="AA9" s="16"/>
    </row>
    <row r="10" spans="1:27">
      <c r="A10" s="18">
        <v>7</v>
      </c>
      <c r="B10" s="13" t="s">
        <v>29</v>
      </c>
      <c r="C10" s="13">
        <v>6</v>
      </c>
      <c r="D10" s="5"/>
      <c r="E10" s="5"/>
      <c r="F10" s="17">
        <v>6</v>
      </c>
      <c r="G10" s="15">
        <v>6</v>
      </c>
      <c r="H10" s="15">
        <v>0</v>
      </c>
      <c r="I10" s="13">
        <v>0</v>
      </c>
      <c r="J10" s="6">
        <f t="shared" si="1"/>
        <v>6</v>
      </c>
      <c r="K10" s="10">
        <f t="shared" si="2"/>
        <v>1</v>
      </c>
      <c r="L10" s="15">
        <v>0</v>
      </c>
      <c r="M10" s="14">
        <f t="shared" si="3"/>
        <v>0</v>
      </c>
      <c r="N10" s="12">
        <v>6</v>
      </c>
      <c r="O10" s="13" t="s">
        <v>21</v>
      </c>
      <c r="P10" s="19">
        <f t="shared" si="4"/>
        <v>0</v>
      </c>
      <c r="Q10" s="10">
        <f t="shared" si="5"/>
        <v>0</v>
      </c>
      <c r="R10" s="13"/>
      <c r="S10" s="16" t="s">
        <v>22</v>
      </c>
      <c r="T10" s="16" t="s">
        <v>22</v>
      </c>
      <c r="U10" s="16" t="s">
        <v>22</v>
      </c>
      <c r="V10" s="16" t="s">
        <v>22</v>
      </c>
      <c r="W10" s="16" t="s">
        <v>22</v>
      </c>
      <c r="X10" s="16" t="s">
        <v>22</v>
      </c>
      <c r="Y10" s="16" t="s">
        <v>22</v>
      </c>
      <c r="Z10" s="16"/>
      <c r="AA10" s="16"/>
    </row>
    <row r="11" spans="1:27">
      <c r="A11" s="18">
        <v>8</v>
      </c>
      <c r="B11" s="13" t="s">
        <v>39</v>
      </c>
      <c r="C11" s="13">
        <v>5</v>
      </c>
      <c r="D11" s="5"/>
      <c r="E11" s="5"/>
      <c r="F11" s="17">
        <v>5</v>
      </c>
      <c r="G11" s="15">
        <v>5</v>
      </c>
      <c r="H11" s="15">
        <v>0</v>
      </c>
      <c r="I11" s="13">
        <v>0</v>
      </c>
      <c r="J11" s="6">
        <f t="shared" si="1"/>
        <v>5</v>
      </c>
      <c r="K11" s="10">
        <f t="shared" si="2"/>
        <v>1</v>
      </c>
      <c r="L11" s="15">
        <v>0</v>
      </c>
      <c r="M11" s="14">
        <f t="shared" si="3"/>
        <v>0</v>
      </c>
      <c r="N11" s="12">
        <v>0</v>
      </c>
      <c r="O11" s="13" t="s">
        <v>21</v>
      </c>
      <c r="P11" s="19">
        <f t="shared" si="4"/>
        <v>5</v>
      </c>
      <c r="Q11" s="10">
        <f t="shared" si="5"/>
        <v>1</v>
      </c>
      <c r="R11" s="13"/>
      <c r="S11" s="16" t="s">
        <v>22</v>
      </c>
      <c r="T11" s="16" t="s">
        <v>22</v>
      </c>
      <c r="U11" s="16" t="s">
        <v>22</v>
      </c>
      <c r="V11" s="16" t="s">
        <v>22</v>
      </c>
      <c r="W11" s="16"/>
      <c r="X11" s="16"/>
      <c r="Y11" s="16"/>
      <c r="Z11" s="16"/>
      <c r="AA11" s="16"/>
    </row>
    <row r="12" spans="1:27">
      <c r="A12" s="18">
        <v>9</v>
      </c>
      <c r="B12" s="13" t="s">
        <v>27</v>
      </c>
      <c r="C12" s="13">
        <v>3</v>
      </c>
      <c r="D12" s="5"/>
      <c r="E12" s="5"/>
      <c r="F12" s="17">
        <v>3</v>
      </c>
      <c r="G12" s="15">
        <v>3</v>
      </c>
      <c r="H12" s="15">
        <v>0</v>
      </c>
      <c r="I12" s="13">
        <v>0</v>
      </c>
      <c r="J12" s="6">
        <f t="shared" ref="J12:J15" si="6">SUM(G12:I12)</f>
        <v>3</v>
      </c>
      <c r="K12" s="10">
        <f t="shared" ref="K12:K15" si="7">J12/F12</f>
        <v>1</v>
      </c>
      <c r="L12" s="15">
        <v>0</v>
      </c>
      <c r="M12" s="14">
        <f t="shared" ref="M12:M15" si="8">L12/F12</f>
        <v>0</v>
      </c>
      <c r="N12" s="12">
        <v>3</v>
      </c>
      <c r="O12" s="13" t="s">
        <v>21</v>
      </c>
      <c r="P12" s="19">
        <f t="shared" ref="P12:P15" si="9">G12-N12</f>
        <v>0</v>
      </c>
      <c r="Q12" s="10">
        <f t="shared" ref="Q12:Q15" si="10">P12/F12</f>
        <v>0</v>
      </c>
      <c r="R12" s="13"/>
      <c r="S12" s="16" t="s">
        <v>22</v>
      </c>
      <c r="T12" s="16" t="s">
        <v>22</v>
      </c>
      <c r="U12" s="16" t="s">
        <v>22</v>
      </c>
      <c r="V12" s="16" t="s">
        <v>22</v>
      </c>
      <c r="W12" s="16" t="s">
        <v>22</v>
      </c>
      <c r="X12" s="16" t="s">
        <v>22</v>
      </c>
      <c r="Y12" s="16" t="s">
        <v>22</v>
      </c>
      <c r="Z12" s="16"/>
      <c r="AA12" s="16"/>
    </row>
    <row r="13" spans="1:27">
      <c r="A13" s="18">
        <v>10</v>
      </c>
      <c r="B13" s="13" t="s">
        <v>25</v>
      </c>
      <c r="C13" s="13">
        <v>6</v>
      </c>
      <c r="D13" s="5"/>
      <c r="E13" s="5"/>
      <c r="F13" s="17">
        <v>6</v>
      </c>
      <c r="G13" s="15">
        <v>6</v>
      </c>
      <c r="H13" s="15">
        <v>0</v>
      </c>
      <c r="I13" s="13">
        <v>0</v>
      </c>
      <c r="J13" s="6">
        <f t="shared" si="6"/>
        <v>6</v>
      </c>
      <c r="K13" s="10">
        <f t="shared" si="7"/>
        <v>1</v>
      </c>
      <c r="L13" s="15">
        <v>0</v>
      </c>
      <c r="M13" s="14">
        <f t="shared" si="8"/>
        <v>0</v>
      </c>
      <c r="N13" s="12">
        <v>6</v>
      </c>
      <c r="O13" s="13" t="s">
        <v>21</v>
      </c>
      <c r="P13" s="19">
        <f t="shared" si="9"/>
        <v>0</v>
      </c>
      <c r="Q13" s="10">
        <f t="shared" si="10"/>
        <v>0</v>
      </c>
      <c r="R13" s="13"/>
      <c r="S13" s="16" t="s">
        <v>22</v>
      </c>
      <c r="T13" s="16" t="s">
        <v>22</v>
      </c>
      <c r="U13" s="16" t="s">
        <v>22</v>
      </c>
      <c r="V13" s="16" t="s">
        <v>22</v>
      </c>
      <c r="W13" s="16" t="s">
        <v>22</v>
      </c>
      <c r="X13" s="16" t="s">
        <v>22</v>
      </c>
      <c r="Y13" s="16" t="s">
        <v>22</v>
      </c>
      <c r="Z13" s="16"/>
      <c r="AA13" s="16"/>
    </row>
    <row r="14" spans="1:27">
      <c r="A14" s="18">
        <v>11</v>
      </c>
      <c r="B14" s="13" t="s">
        <v>28</v>
      </c>
      <c r="C14" s="13">
        <v>1</v>
      </c>
      <c r="D14" s="5"/>
      <c r="E14" s="5"/>
      <c r="F14" s="17">
        <v>1</v>
      </c>
      <c r="G14" s="15">
        <v>1</v>
      </c>
      <c r="H14" s="15">
        <v>0</v>
      </c>
      <c r="I14" s="13">
        <v>0</v>
      </c>
      <c r="J14" s="6">
        <f t="shared" si="6"/>
        <v>1</v>
      </c>
      <c r="K14" s="10">
        <f t="shared" si="7"/>
        <v>1</v>
      </c>
      <c r="L14" s="15">
        <v>0</v>
      </c>
      <c r="M14" s="14">
        <f t="shared" si="8"/>
        <v>0</v>
      </c>
      <c r="N14" s="12">
        <v>1</v>
      </c>
      <c r="O14" s="13" t="s">
        <v>21</v>
      </c>
      <c r="P14" s="19">
        <f t="shared" si="9"/>
        <v>0</v>
      </c>
      <c r="Q14" s="10">
        <f t="shared" si="10"/>
        <v>0</v>
      </c>
      <c r="R14" s="13"/>
      <c r="S14" s="16" t="s">
        <v>22</v>
      </c>
      <c r="T14" s="16" t="s">
        <v>22</v>
      </c>
      <c r="U14" s="16" t="s">
        <v>22</v>
      </c>
      <c r="V14" s="16" t="s">
        <v>22</v>
      </c>
      <c r="W14" s="16" t="s">
        <v>22</v>
      </c>
      <c r="X14" s="16" t="s">
        <v>22</v>
      </c>
      <c r="Y14" s="16" t="s">
        <v>22</v>
      </c>
      <c r="Z14" s="16"/>
      <c r="AA14" s="16"/>
    </row>
    <row r="15" spans="1:27">
      <c r="A15" s="18">
        <v>12</v>
      </c>
      <c r="B15" s="13" t="s">
        <v>32</v>
      </c>
      <c r="C15" s="13">
        <v>4</v>
      </c>
      <c r="D15" s="5"/>
      <c r="E15" s="5"/>
      <c r="F15" s="17">
        <v>4</v>
      </c>
      <c r="G15" s="15">
        <v>4</v>
      </c>
      <c r="H15" s="15">
        <v>0</v>
      </c>
      <c r="I15" s="13">
        <v>0</v>
      </c>
      <c r="J15" s="6">
        <f t="shared" si="6"/>
        <v>4</v>
      </c>
      <c r="K15" s="10">
        <f t="shared" si="7"/>
        <v>1</v>
      </c>
      <c r="L15" s="15">
        <v>0</v>
      </c>
      <c r="M15" s="14">
        <f t="shared" si="8"/>
        <v>0</v>
      </c>
      <c r="N15" s="12">
        <v>4</v>
      </c>
      <c r="O15" s="13" t="s">
        <v>21</v>
      </c>
      <c r="P15" s="19">
        <f t="shared" si="9"/>
        <v>0</v>
      </c>
      <c r="Q15" s="10">
        <f t="shared" si="10"/>
        <v>0</v>
      </c>
      <c r="R15" s="13"/>
      <c r="S15" s="16" t="s">
        <v>22</v>
      </c>
      <c r="T15" s="16" t="s">
        <v>22</v>
      </c>
      <c r="U15" s="16" t="s">
        <v>22</v>
      </c>
      <c r="V15" s="16" t="s">
        <v>22</v>
      </c>
      <c r="W15" s="16" t="s">
        <v>22</v>
      </c>
      <c r="X15" s="16" t="s">
        <v>22</v>
      </c>
      <c r="Y15" s="16" t="s">
        <v>22</v>
      </c>
      <c r="Z15" s="16"/>
      <c r="AA15" s="16"/>
    </row>
    <row r="16" spans="1:27">
      <c r="A16" s="18">
        <v>13</v>
      </c>
      <c r="B16" s="13" t="s">
        <v>40</v>
      </c>
      <c r="C16" s="13">
        <v>2</v>
      </c>
      <c r="D16" s="5"/>
      <c r="E16" s="5"/>
      <c r="F16" s="17">
        <v>2</v>
      </c>
      <c r="G16" s="15">
        <v>2</v>
      </c>
      <c r="H16" s="15">
        <v>0</v>
      </c>
      <c r="I16" s="13">
        <v>0</v>
      </c>
      <c r="J16" s="6">
        <f t="shared" ref="J16" si="11">SUM(G16:I16)</f>
        <v>2</v>
      </c>
      <c r="K16" s="10">
        <f t="shared" ref="K16" si="12">J16/F16</f>
        <v>1</v>
      </c>
      <c r="L16" s="15">
        <v>0</v>
      </c>
      <c r="M16" s="14">
        <f t="shared" ref="M16" si="13">L16/F16</f>
        <v>0</v>
      </c>
      <c r="N16" s="12">
        <v>0</v>
      </c>
      <c r="O16" s="13" t="s">
        <v>21</v>
      </c>
      <c r="P16" s="19">
        <f t="shared" ref="P16" si="14">G16-N16</f>
        <v>2</v>
      </c>
      <c r="Q16" s="10">
        <f t="shared" ref="Q16" si="15">P16/F16</f>
        <v>1</v>
      </c>
      <c r="R16" s="13"/>
      <c r="S16" s="16" t="s">
        <v>22</v>
      </c>
      <c r="T16" s="16" t="s">
        <v>22</v>
      </c>
      <c r="U16" s="16" t="s">
        <v>22</v>
      </c>
      <c r="V16" s="16" t="s">
        <v>22</v>
      </c>
      <c r="W16" s="16"/>
      <c r="X16" s="16"/>
      <c r="Y16" s="16"/>
      <c r="Z16" s="16"/>
      <c r="AA16" s="16"/>
    </row>
  </sheetData>
  <mergeCells count="21">
    <mergeCell ref="Y1:Y2"/>
    <mergeCell ref="Z1:Z2"/>
    <mergeCell ref="AA1:AA2"/>
    <mergeCell ref="T1:T2"/>
    <mergeCell ref="U1:U2"/>
    <mergeCell ref="V1:V2"/>
    <mergeCell ref="W1:W2"/>
    <mergeCell ref="X1:X2"/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2026-02-27T02:10:56Z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