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BANDINGAN JUMLAH" sheetId="1" r:id="rId4"/>
    <sheet state="visible" name="JENIS ASN" sheetId="2" r:id="rId5"/>
    <sheet state="visible" name="GOLONGAN ASN" sheetId="3" r:id="rId6"/>
    <sheet state="visible" name="JENKEL ASN" sheetId="4" r:id="rId7"/>
    <sheet state="visible" name="PENDIDIKAN ASN" sheetId="5" r:id="rId8"/>
    <sheet state="visible" name="USIA ASN" sheetId="6" r:id="rId9"/>
    <sheet state="visible" name="KEL JABATAN FIX" sheetId="7" r:id="rId10"/>
    <sheet state="hidden" name="GA DIPAKE JABATAN ASN" sheetId="8" r:id="rId11"/>
    <sheet state="visible" name="GEN ASN" sheetId="9" r:id="rId12"/>
    <sheet state="visible" name="MASA KERJA ASN" sheetId="10" r:id="rId13"/>
  </sheets>
  <definedNames/>
  <calcPr/>
  <extLst>
    <ext uri="GoogleSheetsCustomDataVersion2">
      <go:sheetsCustomData xmlns:go="http://customooxmlschemas.google.com/" r:id="rId14" roundtripDataChecksum="wyboSB0BoafWA7O/ekqtKmRaOaixuIixvNv1vomm7BE="/>
    </ext>
  </extLst>
</workbook>
</file>

<file path=xl/sharedStrings.xml><?xml version="1.0" encoding="utf-8"?>
<sst xmlns="http://schemas.openxmlformats.org/spreadsheetml/2006/main" count="814" uniqueCount="181">
  <si>
    <t>KODE</t>
  </si>
  <si>
    <t>INSTANSI</t>
  </si>
  <si>
    <t>JENIS ASN</t>
  </si>
  <si>
    <t>JENIS KELAMIN ASN</t>
  </si>
  <si>
    <t>GOLONGAN ASN</t>
  </si>
  <si>
    <t>PENDIDIKAN ASN</t>
  </si>
  <si>
    <t>USIA ASN</t>
  </si>
  <si>
    <t>GENERASI ASN</t>
  </si>
  <si>
    <t>JABATAN ASN</t>
  </si>
  <si>
    <t>MASA KERJA ASN</t>
  </si>
  <si>
    <t>KELOMPOK JABATAN</t>
  </si>
  <si>
    <t>KESESUAIAN JUMLAH</t>
  </si>
  <si>
    <t>SELISIH</t>
  </si>
  <si>
    <t>Kementerian Pertahanan</t>
  </si>
  <si>
    <t>ALL</t>
  </si>
  <si>
    <t>SESUAI</t>
  </si>
  <si>
    <t>TIDAK SESUAI</t>
  </si>
  <si>
    <t>TOTAL</t>
  </si>
  <si>
    <t>PERSENTASE</t>
  </si>
  <si>
    <t>Kementerian Keuangan</t>
  </si>
  <si>
    <t>Kementerian Pertanian</t>
  </si>
  <si>
    <t>Kementerian Agama</t>
  </si>
  <si>
    <t>Kementerian Imigrasi dan Pemasyarakatan</t>
  </si>
  <si>
    <t>Kementerian Hukum</t>
  </si>
  <si>
    <t>Kejaksaan Agung</t>
  </si>
  <si>
    <t>Mahkamah Agung RI</t>
  </si>
  <si>
    <t>Badan Pemeriksa Keuangan</t>
  </si>
  <si>
    <t>Badan Pusat Statistik</t>
  </si>
  <si>
    <t>Kementerian Kependudukan Dan Pembangunan Keluarga/Badan Kependudukan Dan Keluarga Berencana Nasional</t>
  </si>
  <si>
    <t>Badan Pengawasan Keuangan dan Pembangunan</t>
  </si>
  <si>
    <t>Kementerian Agraria dan Tata Ruang/Badan Pertanahan Nasional</t>
  </si>
  <si>
    <t>Kepolisian Negara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</si>
  <si>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</si>
  <si>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</si>
  <si>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</si>
  <si>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</si>
  <si>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</si>
  <si>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</si>
  <si>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DAERAH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</si>
  <si>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</si>
  <si>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</si>
  <si>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</si>
  <si>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</si>
  <si>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</si>
  <si>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</si>
  <si>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</si>
  <si>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</si>
  <si>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</si>
  <si>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</si>
  <si>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</si>
  <si>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</si>
  <si>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</si>
  <si>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</si>
  <si>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</si>
  <si>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</si>
  <si>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</si>
  <si>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</si>
  <si>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</si>
  <si>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</si>
  <si>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</si>
  <si>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</si>
  <si>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</si>
  <si>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JUMLAH SEWILAYAH JAWA BARAT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</si>
  <si>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</si>
  <si>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</si>
  <si>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</si>
  <si>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</si>
  <si>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</si>
  <si>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</si>
  <si>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</si>
  <si>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</si>
  <si>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</si>
  <si>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JUMLAH SEWILAYAH BANTEN</t>
  </si>
  <si>
    <t>JUMLAH INSTANSI DAERAH</t>
  </si>
  <si>
    <t xml:space="preserve">JUMLAH se-WILAYAH KERJA KANTOR REGIONAL	</t>
  </si>
  <si>
    <t>ASN NOVEMBER 2025</t>
  </si>
  <si>
    <t>berdasarkan Jenis ASN</t>
  </si>
  <si>
    <t>keadaan data pada tanggal : 3 November 2025</t>
  </si>
  <si>
    <t>JENIS</t>
  </si>
  <si>
    <t>PNS</t>
  </si>
  <si>
    <t>PPPK</t>
  </si>
  <si>
    <t>JUMLAH</t>
  </si>
  <si>
    <t>% PNS</t>
  </si>
  <si>
    <t>% PPPK</t>
  </si>
  <si>
    <t>INSTANSI PUSAT</t>
  </si>
  <si>
    <t>Kementerian Hak Asasi Manusia</t>
  </si>
  <si>
    <t>JUMLAH INSTANSI PUSAT</t>
  </si>
  <si>
    <t>INSTANSI DAERAH</t>
  </si>
  <si>
    <t>JUMLAH se-WILAYAH KERJA KANTOR REGIONAL</t>
  </si>
  <si>
    <t>ASN OKTOBER 2025</t>
  </si>
  <si>
    <t>berdasarkan Golongan ASN</t>
  </si>
  <si>
    <t>keadaan data pada tanggal : 2 November 2025</t>
  </si>
  <si>
    <t>GOLONGAN I</t>
  </si>
  <si>
    <t>GOLONGAN II</t>
  </si>
  <si>
    <t>GOLONGAN III</t>
  </si>
  <si>
    <t>GOLONGAN IV</t>
  </si>
  <si>
    <t>GOLONGAN V</t>
  </si>
  <si>
    <t>GOLONGAN VI</t>
  </si>
  <si>
    <t>GOLONGAN VII</t>
  </si>
  <si>
    <t>GOLONGAN IX</t>
  </si>
  <si>
    <t>GOLONGAN X</t>
  </si>
  <si>
    <t>GOLONGAN XI</t>
  </si>
  <si>
    <t>GOLONGAN XIII</t>
  </si>
  <si>
    <t>PPPK GOL I,III</t>
  </si>
  <si>
    <t>PPPK GOL V,VI, VII</t>
  </si>
  <si>
    <t>PPPK GOL IX,X,XI,XIII</t>
  </si>
  <si>
    <t>Jumlah</t>
  </si>
  <si>
    <t xml:space="preserve"> </t>
  </si>
  <si>
    <t>berdasarkan Jenis Kelamin ASN</t>
  </si>
  <si>
    <t>ASN</t>
  </si>
  <si>
    <t>PRIA</t>
  </si>
  <si>
    <t>WANITA</t>
  </si>
  <si>
    <t>%PRIA</t>
  </si>
  <si>
    <t>%WANITA</t>
  </si>
  <si>
    <t>berdasarkan Pendidikan ASN</t>
  </si>
  <si>
    <t>SD</t>
  </si>
  <si>
    <t>SMP</t>
  </si>
  <si>
    <t>SMA</t>
  </si>
  <si>
    <t>Diploma I</t>
  </si>
  <si>
    <t>Diploma II</t>
  </si>
  <si>
    <t>Diploma III</t>
  </si>
  <si>
    <t>S1</t>
  </si>
  <si>
    <t>S2</t>
  </si>
  <si>
    <t>S3</t>
  </si>
  <si>
    <t>JML</t>
  </si>
  <si>
    <t>berdasarkan Usia ASN</t>
  </si>
  <si>
    <t>&lt;= 31</t>
  </si>
  <si>
    <t>31-40</t>
  </si>
  <si>
    <t>41-50</t>
  </si>
  <si>
    <t>&gt;= 51</t>
  </si>
  <si>
    <t>JPT Madya PNS</t>
  </si>
  <si>
    <t>JPT Pratama PNS</t>
  </si>
  <si>
    <t>Administrator PNS</t>
  </si>
  <si>
    <t>Pengawas PNS</t>
  </si>
  <si>
    <t>Eselon V PNS</t>
  </si>
  <si>
    <t>JF Guru PNS</t>
  </si>
  <si>
    <t>JF Nakes PNS</t>
  </si>
  <si>
    <t>JF Teknis PNS</t>
  </si>
  <si>
    <t>Pelaksana PNS</t>
  </si>
  <si>
    <t>JPT Madya PPPK</t>
  </si>
  <si>
    <t>JPT Pratama PPPK</t>
  </si>
  <si>
    <t>Administrator PPPK</t>
  </si>
  <si>
    <t>Pengawas PPPK</t>
  </si>
  <si>
    <t>Eselon V PPPK</t>
  </si>
  <si>
    <t>Struktural Kosong PPPK</t>
  </si>
  <si>
    <t>JF Guru PPPK</t>
  </si>
  <si>
    <t>JF Nakes PPPK</t>
  </si>
  <si>
    <t>JF Teknis PPPK</t>
  </si>
  <si>
    <t>JF Kosong PPPK</t>
  </si>
  <si>
    <t>Pelaksana PPPK</t>
  </si>
  <si>
    <t>STRUTURAL GAB</t>
  </si>
  <si>
    <t>%</t>
  </si>
  <si>
    <t>JF GAB</t>
  </si>
  <si>
    <t>PELAKSANA GAB</t>
  </si>
  <si>
    <t>berdasarkan Jabatan ASN</t>
  </si>
  <si>
    <t>STRUKTURAL</t>
  </si>
  <si>
    <t>FUNGSIONAL</t>
  </si>
  <si>
    <t>PELAKSANA</t>
  </si>
  <si>
    <t>%STRUKTURAL</t>
  </si>
  <si>
    <t>%FUNGSIONAL</t>
  </si>
  <si>
    <t>%PELAKSANA</t>
  </si>
  <si>
    <t>%JUMLAH</t>
  </si>
  <si>
    <t>berdasarkan Generasi ASN</t>
  </si>
  <si>
    <t>Baby Boomer (1946-1964)</t>
  </si>
  <si>
    <t>Gen X (1965-1980)</t>
  </si>
  <si>
    <t>Gen Y (1981-1995)</t>
  </si>
  <si>
    <t>Gen Z (1996-2010)</t>
  </si>
  <si>
    <t>%Baby Boomer</t>
  </si>
  <si>
    <t>%Gen X</t>
  </si>
  <si>
    <t>%Gen Y</t>
  </si>
  <si>
    <t>%Gen Z</t>
  </si>
  <si>
    <t>%Jumlah</t>
  </si>
  <si>
    <t>berdasarkan Masa Kerja ASN</t>
  </si>
  <si>
    <t>MASA KERJA  0-10</t>
  </si>
  <si>
    <t>MASA KERJA  11-20</t>
  </si>
  <si>
    <t>MASA KERJA  21-30</t>
  </si>
  <si>
    <t>MASA KERJA &gt;30</t>
  </si>
  <si>
    <t>%MASA KERJA  0-10</t>
  </si>
  <si>
    <t>%MASA KERJA  11-20</t>
  </si>
  <si>
    <t>%MASA KERJA  21-30</t>
  </si>
  <si>
    <t>%MASA KERJA &gt;30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</si>
</sst>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b/>
      <sz val="14.0"/>
      <color theme="1"/>
      <name val="Calibri"/>
    </font>
    <font>
      <color theme="1"/>
      <name val="Calibri"/>
    </font>
    <font>
      <b/>
      <color theme="1"/>
      <name val="Calibri"/>
    </font>
    <font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2" fillId="0" fontId="3" numFmtId="0" xfId="0" applyBorder="1" applyFont="1"/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3" fillId="0" fontId="2" numFmtId="3" xfId="0" applyAlignment="1" applyBorder="1" applyFont="1" applyNumberFormat="1">
      <alignment horizontal="right"/>
    </xf>
    <xf borderId="3" fillId="0" fontId="2" numFmtId="3" xfId="0" applyBorder="1" applyFont="1" applyNumberFormat="1"/>
    <xf borderId="3" fillId="2" fontId="4" numFmtId="0" xfId="0" applyAlignment="1" applyBorder="1" applyFill="1" applyFont="1">
      <alignment horizontal="center"/>
    </xf>
    <xf borderId="3" fillId="3" fontId="4" numFmtId="0" xfId="0" applyAlignment="1" applyBorder="1" applyFill="1" applyFont="1">
      <alignment horizontal="center"/>
    </xf>
    <xf borderId="3" fillId="0" fontId="2" numFmtId="0" xfId="0" applyAlignment="1" applyBorder="1" applyFont="1">
      <alignment horizontal="center"/>
    </xf>
    <xf borderId="3" fillId="4" fontId="2" numFmtId="2" xfId="0" applyAlignment="1" applyBorder="1" applyFill="1" applyFont="1" applyNumberFormat="1">
      <alignment horizontal="center"/>
    </xf>
    <xf borderId="3" fillId="0" fontId="1" numFmtId="0" xfId="0" applyAlignment="1" applyBorder="1" applyFont="1">
      <alignment horizontal="center" shrinkToFit="0" vertical="center" wrapText="1"/>
    </xf>
    <xf borderId="3" fillId="0" fontId="4" numFmtId="3" xfId="0" applyAlignment="1" applyBorder="1" applyFont="1" applyNumberFormat="1">
      <alignment horizontal="right"/>
    </xf>
    <xf borderId="3" fillId="5" fontId="2" numFmtId="3" xfId="0" applyAlignment="1" applyBorder="1" applyFill="1" applyFont="1" applyNumberFormat="1">
      <alignment horizontal="right"/>
    </xf>
    <xf borderId="3" fillId="6" fontId="2" numFmtId="3" xfId="0" applyAlignment="1" applyBorder="1" applyFill="1" applyFont="1" applyNumberFormat="1">
      <alignment horizontal="right"/>
    </xf>
    <xf borderId="0" fillId="0" fontId="2" numFmtId="3" xfId="0" applyFont="1" applyNumberFormat="1"/>
    <xf borderId="3" fillId="7" fontId="2" numFmtId="0" xfId="0" applyAlignment="1" applyBorder="1" applyFill="1" applyFont="1">
      <alignment horizontal="center" vertical="center"/>
    </xf>
    <xf borderId="3" fillId="7" fontId="2" numFmtId="0" xfId="0" applyAlignment="1" applyBorder="1" applyFont="1">
      <alignment vertical="center"/>
    </xf>
    <xf borderId="3" fillId="7" fontId="2" numFmtId="3" xfId="0" applyAlignment="1" applyBorder="1" applyFont="1" applyNumberFormat="1">
      <alignment horizontal="right"/>
    </xf>
    <xf borderId="3" fillId="7" fontId="2" numFmtId="3" xfId="0" applyBorder="1" applyFont="1" applyNumberFormat="1"/>
    <xf borderId="3" fillId="7" fontId="4" numFmtId="0" xfId="0" applyAlignment="1" applyBorder="1" applyFont="1">
      <alignment horizontal="center"/>
    </xf>
    <xf borderId="0" fillId="7" fontId="2" numFmtId="3" xfId="0" applyFont="1" applyNumberFormat="1"/>
    <xf borderId="0" fillId="7" fontId="2" numFmtId="0" xfId="0" applyFont="1"/>
    <xf borderId="4" fillId="0" fontId="4" numFmtId="0" xfId="0" applyAlignment="1" applyBorder="1" applyFont="1">
      <alignment horizontal="center" vertical="center"/>
    </xf>
    <xf borderId="5" fillId="0" fontId="3" numFmtId="0" xfId="0" applyBorder="1" applyFont="1"/>
    <xf borderId="3" fillId="0" fontId="4" numFmtId="3" xfId="0" applyBorder="1" applyFont="1" applyNumberFormat="1"/>
    <xf borderId="4" fillId="0" fontId="1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4" numFmtId="0" xfId="0" applyAlignment="1" applyFont="1">
      <alignment readingOrder="0"/>
    </xf>
    <xf borderId="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textRotation="255" vertical="center" wrapText="1"/>
    </xf>
    <xf borderId="3" fillId="0" fontId="2" numFmtId="3" xfId="0" applyAlignment="1" applyBorder="1" applyFont="1" applyNumberFormat="1">
      <alignment vertical="center"/>
    </xf>
    <xf borderId="0" fillId="0" fontId="2" numFmtId="10" xfId="0" applyAlignment="1" applyFont="1" applyNumberFormat="1">
      <alignment horizontal="right" vertical="center"/>
    </xf>
    <xf borderId="0" fillId="0" fontId="2" numFmtId="0" xfId="0" applyAlignment="1" applyFont="1">
      <alignment vertical="center"/>
    </xf>
    <xf borderId="6" fillId="0" fontId="3" numFmtId="0" xfId="0" applyBorder="1" applyFont="1"/>
    <xf borderId="3" fillId="0" fontId="1" numFmtId="3" xfId="0" applyAlignment="1" applyBorder="1" applyFont="1" applyNumberFormat="1">
      <alignment vertical="center"/>
    </xf>
    <xf borderId="0" fillId="0" fontId="4" numFmtId="10" xfId="0" applyAlignment="1" applyFont="1" applyNumberFormat="1">
      <alignment horizontal="right" vertical="center"/>
    </xf>
    <xf borderId="3" fillId="0" fontId="2" numFmtId="0" xfId="0" applyAlignment="1" applyBorder="1" applyFont="1">
      <alignment readingOrder="0" vertical="center"/>
    </xf>
    <xf borderId="0" fillId="0" fontId="2" numFmtId="164" xfId="0" applyAlignment="1" applyFont="1" applyNumberFormat="1">
      <alignment horizontal="right" vertical="center"/>
    </xf>
    <xf borderId="3" fillId="8" fontId="2" numFmtId="0" xfId="0" applyAlignment="1" applyBorder="1" applyFill="1" applyFont="1">
      <alignment horizontal="center" vertical="center"/>
    </xf>
    <xf borderId="3" fillId="8" fontId="2" numFmtId="0" xfId="0" applyAlignment="1" applyBorder="1" applyFont="1">
      <alignment vertical="center"/>
    </xf>
    <xf borderId="3" fillId="8" fontId="2" numFmtId="3" xfId="0" applyAlignment="1" applyBorder="1" applyFont="1" applyNumberFormat="1">
      <alignment vertical="center"/>
    </xf>
    <xf borderId="0" fillId="8" fontId="2" numFmtId="164" xfId="0" applyAlignment="1" applyFont="1" applyNumberFormat="1">
      <alignment horizontal="right" vertical="center"/>
    </xf>
    <xf borderId="3" fillId="9" fontId="2" numFmtId="0" xfId="0" applyAlignment="1" applyBorder="1" applyFill="1" applyFont="1">
      <alignment horizontal="center" vertical="center"/>
    </xf>
    <xf borderId="3" fillId="9" fontId="2" numFmtId="0" xfId="0" applyAlignment="1" applyBorder="1" applyFont="1">
      <alignment vertical="center"/>
    </xf>
    <xf borderId="3" fillId="9" fontId="2" numFmtId="3" xfId="0" applyAlignment="1" applyBorder="1" applyFont="1" applyNumberFormat="1">
      <alignment vertical="center"/>
    </xf>
    <xf borderId="0" fillId="9" fontId="2" numFmtId="164" xfId="0" applyAlignment="1" applyFont="1" applyNumberFormat="1">
      <alignment horizontal="right" vertical="center"/>
    </xf>
    <xf borderId="0" fillId="9" fontId="2" numFmtId="0" xfId="0" applyAlignment="1" applyFont="1">
      <alignment vertical="center"/>
    </xf>
    <xf borderId="3" fillId="2" fontId="2" numFmtId="0" xfId="0" applyAlignment="1" applyBorder="1" applyFont="1">
      <alignment vertical="center"/>
    </xf>
    <xf borderId="3" fillId="2" fontId="2" numFmtId="3" xfId="0" applyAlignment="1" applyBorder="1" applyFont="1" applyNumberFormat="1">
      <alignment vertical="center"/>
    </xf>
    <xf borderId="3" fillId="10" fontId="2" numFmtId="0" xfId="0" applyAlignment="1" applyBorder="1" applyFill="1" applyFont="1">
      <alignment vertical="center"/>
    </xf>
    <xf borderId="3" fillId="10" fontId="2" numFmtId="3" xfId="0" applyAlignment="1" applyBorder="1" applyFont="1" applyNumberFormat="1">
      <alignment vertical="center"/>
    </xf>
    <xf borderId="3" fillId="0" fontId="4" numFmtId="3" xfId="0" applyAlignment="1" applyBorder="1" applyFont="1" applyNumberFormat="1">
      <alignment vertical="center"/>
    </xf>
    <xf borderId="0" fillId="0" fontId="4" numFmtId="164" xfId="0" applyAlignment="1" applyFont="1" applyNumberFormat="1">
      <alignment horizontal="right" vertical="center"/>
    </xf>
    <xf borderId="3" fillId="7" fontId="2" numFmtId="3" xfId="0" applyAlignment="1" applyBorder="1" applyFont="1" applyNumberFormat="1">
      <alignment vertical="center"/>
    </xf>
    <xf borderId="0" fillId="7" fontId="2" numFmtId="164" xfId="0" applyAlignment="1" applyFont="1" applyNumberFormat="1">
      <alignment horizontal="right" vertical="center"/>
    </xf>
    <xf borderId="2" fillId="7" fontId="1" numFmtId="0" xfId="0" applyAlignment="1" applyBorder="1" applyFont="1">
      <alignment horizontal="center" shrinkToFit="0" textRotation="255" vertical="center" wrapText="1"/>
    </xf>
    <xf borderId="4" fillId="7" fontId="4" numFmtId="0" xfId="0" applyAlignment="1" applyBorder="1" applyFont="1">
      <alignment horizontal="center" vertical="center"/>
    </xf>
    <xf borderId="3" fillId="7" fontId="4" numFmtId="3" xfId="0" applyAlignment="1" applyBorder="1" applyFont="1" applyNumberFormat="1">
      <alignment vertical="center"/>
    </xf>
    <xf borderId="4" fillId="7" fontId="1" numFmtId="0" xfId="0" applyAlignment="1" applyBorder="1" applyFont="1">
      <alignment horizontal="center" vertical="center"/>
    </xf>
    <xf borderId="7" fillId="0" fontId="3" numFmtId="0" xfId="0" applyBorder="1" applyFont="1"/>
    <xf borderId="4" fillId="0" fontId="1" numFmtId="0" xfId="0" applyAlignment="1" applyBorder="1" applyFont="1">
      <alignment horizontal="center" vertical="center"/>
    </xf>
    <xf borderId="0" fillId="0" fontId="5" numFmtId="0" xfId="0" applyFont="1"/>
    <xf borderId="0" fillId="0" fontId="6" numFmtId="1" xfId="0" applyFont="1" applyNumberFormat="1"/>
    <xf borderId="1" fillId="0" fontId="1" numFmtId="0" xfId="0" applyAlignment="1" applyBorder="1" applyFont="1">
      <alignment horizontal="center"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4" fillId="0" fontId="7" numFmtId="1" xfId="0" applyAlignment="1" applyBorder="1" applyFont="1" applyNumberFormat="1">
      <alignment horizontal="center" vertical="center"/>
    </xf>
    <xf borderId="3" fillId="0" fontId="6" numFmtId="0" xfId="0" applyBorder="1" applyFont="1"/>
    <xf borderId="3" fillId="0" fontId="1" numFmtId="1" xfId="0" applyAlignment="1" applyBorder="1" applyFont="1" applyNumberFormat="1">
      <alignment horizontal="center" shrinkToFit="0" vertical="center" wrapText="1"/>
    </xf>
    <xf borderId="3" fillId="0" fontId="4" numFmtId="1" xfId="0" applyAlignment="1" applyBorder="1" applyFont="1" applyNumberFormat="1">
      <alignment horizontal="center" shrinkToFit="0" vertical="center" wrapText="1"/>
    </xf>
    <xf borderId="3" fillId="0" fontId="2" numFmtId="1" xfId="0" applyBorder="1" applyFont="1" applyNumberFormat="1"/>
    <xf borderId="3" fillId="0" fontId="2" numFmtId="1" xfId="0" applyAlignment="1" applyBorder="1" applyFont="1" applyNumberFormat="1">
      <alignment horizontal="right" vertical="center"/>
    </xf>
    <xf borderId="3" fillId="0" fontId="2" numFmtId="3" xfId="0" applyAlignment="1" applyBorder="1" applyFont="1" applyNumberFormat="1">
      <alignment horizontal="right" vertical="center"/>
    </xf>
    <xf borderId="4" fillId="0" fontId="1" numFmtId="0" xfId="0" applyAlignment="1" applyBorder="1" applyFont="1">
      <alignment horizontal="center" shrinkToFit="0" vertical="center" wrapText="1"/>
    </xf>
    <xf borderId="3" fillId="0" fontId="4" numFmtId="1" xfId="0" applyAlignment="1" applyBorder="1" applyFont="1" applyNumberFormat="1">
      <alignment vertical="center"/>
    </xf>
    <xf borderId="3" fillId="0" fontId="4" numFmtId="1" xfId="0" applyAlignment="1" applyBorder="1" applyFont="1" applyNumberFormat="1">
      <alignment horizontal="right" vertical="center"/>
    </xf>
    <xf borderId="3" fillId="0" fontId="4" numFmtId="3" xfId="0" applyAlignment="1" applyBorder="1" applyFont="1" applyNumberFormat="1">
      <alignment horizontal="right" vertical="center"/>
    </xf>
    <xf borderId="3" fillId="8" fontId="2" numFmtId="1" xfId="0" applyBorder="1" applyFont="1" applyNumberFormat="1"/>
    <xf borderId="3" fillId="8" fontId="2" numFmtId="3" xfId="0" applyBorder="1" applyFont="1" applyNumberFormat="1"/>
    <xf borderId="3" fillId="8" fontId="2" numFmtId="1" xfId="0" applyAlignment="1" applyBorder="1" applyFont="1" applyNumberFormat="1">
      <alignment horizontal="right" vertical="center"/>
    </xf>
    <xf borderId="3" fillId="8" fontId="2" numFmtId="3" xfId="0" applyAlignment="1" applyBorder="1" applyFont="1" applyNumberFormat="1">
      <alignment horizontal="right" vertical="center"/>
    </xf>
    <xf borderId="0" fillId="11" fontId="6" numFmtId="0" xfId="0" applyFill="1" applyFont="1"/>
    <xf borderId="3" fillId="12" fontId="2" numFmtId="0" xfId="0" applyAlignment="1" applyBorder="1" applyFill="1" applyFont="1">
      <alignment horizontal="center" vertical="center"/>
    </xf>
    <xf borderId="3" fillId="12" fontId="2" numFmtId="0" xfId="0" applyAlignment="1" applyBorder="1" applyFont="1">
      <alignment vertical="center"/>
    </xf>
    <xf borderId="3" fillId="12" fontId="2" numFmtId="1" xfId="0" applyBorder="1" applyFont="1" applyNumberFormat="1"/>
    <xf borderId="3" fillId="12" fontId="2" numFmtId="3" xfId="0" applyBorder="1" applyFont="1" applyNumberFormat="1"/>
    <xf borderId="3" fillId="12" fontId="2" numFmtId="1" xfId="0" applyAlignment="1" applyBorder="1" applyFont="1" applyNumberFormat="1">
      <alignment horizontal="right" vertical="center"/>
    </xf>
    <xf borderId="3" fillId="12" fontId="2" numFmtId="3" xfId="0" applyAlignment="1" applyBorder="1" applyFont="1" applyNumberFormat="1">
      <alignment horizontal="right" vertical="center"/>
    </xf>
    <xf borderId="0" fillId="0" fontId="6" numFmtId="0" xfId="0" applyFont="1"/>
    <xf borderId="3" fillId="0" fontId="4" numFmtId="1" xfId="0" applyBorder="1" applyFont="1" applyNumberFormat="1"/>
    <xf borderId="3" fillId="7" fontId="2" numFmtId="1" xfId="0" applyBorder="1" applyFont="1" applyNumberFormat="1"/>
    <xf borderId="3" fillId="7" fontId="2" numFmtId="1" xfId="0" applyAlignment="1" applyBorder="1" applyFont="1" applyNumberFormat="1">
      <alignment horizontal="right" vertical="center"/>
    </xf>
    <xf borderId="3" fillId="7" fontId="2" numFmtId="3" xfId="0" applyAlignment="1" applyBorder="1" applyFont="1" applyNumberFormat="1">
      <alignment horizontal="right" vertical="center"/>
    </xf>
    <xf borderId="3" fillId="0" fontId="1" numFmtId="0" xfId="0" applyAlignment="1" applyBorder="1" applyFont="1">
      <alignment horizontal="center" shrinkToFit="0" textRotation="255" vertical="center" wrapText="1"/>
    </xf>
    <xf borderId="3" fillId="7" fontId="4" numFmtId="1" xfId="0" applyAlignment="1" applyBorder="1" applyFont="1" applyNumberFormat="1">
      <alignment vertical="center"/>
    </xf>
    <xf borderId="3" fillId="7" fontId="4" numFmtId="1" xfId="0" applyAlignment="1" applyBorder="1" applyFont="1" applyNumberFormat="1">
      <alignment horizontal="right" vertical="center"/>
    </xf>
    <xf borderId="3" fillId="7" fontId="4" numFmtId="3" xfId="0" applyAlignment="1" applyBorder="1" applyFont="1" applyNumberFormat="1">
      <alignment horizontal="right" vertical="center"/>
    </xf>
    <xf borderId="3" fillId="0" fontId="1" numFmtId="1" xfId="0" applyAlignment="1" applyBorder="1" applyFont="1" applyNumberFormat="1">
      <alignment vertical="center"/>
    </xf>
    <xf borderId="0" fillId="0" fontId="2" numFmtId="1" xfId="0" applyFont="1" applyNumberFormat="1"/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3" fillId="0" fontId="2" numFmtId="10" xfId="0" applyAlignment="1" applyBorder="1" applyFont="1" applyNumberFormat="1">
      <alignment horizontal="right" vertical="center"/>
    </xf>
    <xf borderId="3" fillId="0" fontId="6" numFmtId="3" xfId="0" applyAlignment="1" applyBorder="1" applyFont="1" applyNumberFormat="1">
      <alignment vertical="center"/>
    </xf>
    <xf borderId="3" fillId="0" fontId="4" numFmtId="3" xfId="0" applyAlignment="1" applyBorder="1" applyFont="1" applyNumberFormat="1">
      <alignment horizontal="center" vertical="center"/>
    </xf>
    <xf borderId="3" fillId="0" fontId="4" numFmtId="10" xfId="0" applyAlignment="1" applyBorder="1" applyFont="1" applyNumberFormat="1">
      <alignment horizontal="center" vertical="center"/>
    </xf>
    <xf borderId="3" fillId="0" fontId="7" numFmtId="3" xfId="0" applyAlignment="1" applyBorder="1" applyFont="1" applyNumberFormat="1">
      <alignment vertical="center"/>
    </xf>
    <xf borderId="3" fillId="0" fontId="2" numFmtId="164" xfId="0" applyAlignment="1" applyBorder="1" applyFont="1" applyNumberFormat="1">
      <alignment horizontal="right" vertical="center"/>
    </xf>
    <xf borderId="3" fillId="8" fontId="2" numFmtId="164" xfId="0" applyAlignment="1" applyBorder="1" applyFont="1" applyNumberFormat="1">
      <alignment horizontal="right" vertical="center"/>
    </xf>
    <xf borderId="3" fillId="8" fontId="6" numFmtId="3" xfId="0" applyAlignment="1" applyBorder="1" applyFont="1" applyNumberFormat="1">
      <alignment vertical="center"/>
    </xf>
    <xf borderId="3" fillId="12" fontId="2" numFmtId="164" xfId="0" applyAlignment="1" applyBorder="1" applyFont="1" applyNumberFormat="1">
      <alignment horizontal="right" vertical="center"/>
    </xf>
    <xf borderId="3" fillId="12" fontId="6" numFmtId="3" xfId="0" applyAlignment="1" applyBorder="1" applyFont="1" applyNumberFormat="1">
      <alignment vertical="center"/>
    </xf>
    <xf borderId="3" fillId="0" fontId="4" numFmtId="164" xfId="0" applyAlignment="1" applyBorder="1" applyFont="1" applyNumberFormat="1">
      <alignment horizontal="right" vertical="center"/>
    </xf>
    <xf borderId="3" fillId="7" fontId="2" numFmtId="164" xfId="0" applyAlignment="1" applyBorder="1" applyFont="1" applyNumberFormat="1">
      <alignment horizontal="right" vertical="center"/>
    </xf>
    <xf borderId="3" fillId="7" fontId="6" numFmtId="3" xfId="0" applyAlignment="1" applyBorder="1" applyFont="1" applyNumberFormat="1">
      <alignment vertical="center"/>
    </xf>
    <xf borderId="3" fillId="7" fontId="1" numFmtId="3" xfId="0" applyAlignment="1" applyBorder="1" applyFont="1" applyNumberFormat="1">
      <alignment vertical="center"/>
    </xf>
    <xf borderId="3" fillId="7" fontId="4" numFmtId="164" xfId="0" applyAlignment="1" applyBorder="1" applyFont="1" applyNumberFormat="1">
      <alignment horizontal="right" vertical="center"/>
    </xf>
    <xf borderId="3" fillId="7" fontId="7" numFmtId="3" xfId="0" applyAlignment="1" applyBorder="1" applyFont="1" applyNumberFormat="1">
      <alignment vertical="center"/>
    </xf>
    <xf borderId="3" fillId="7" fontId="1" numFmtId="0" xfId="0" applyAlignment="1" applyBorder="1" applyFont="1">
      <alignment horizontal="center" shrinkToFit="0" textRotation="255" vertical="center" wrapText="1"/>
    </xf>
    <xf borderId="3" fillId="7" fontId="4" numFmtId="3" xfId="0" applyBorder="1" applyFont="1" applyNumberFormat="1"/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3" xfId="0" applyAlignment="1" applyBorder="1" applyFont="1" applyNumberFormat="1">
      <alignment horizontal="right" shrinkToFit="0" vertical="bottom" wrapText="0"/>
    </xf>
    <xf borderId="3" fillId="0" fontId="2" numFmtId="0" xfId="0" applyAlignment="1" applyBorder="1" applyFont="1">
      <alignment horizontal="right" shrinkToFit="0" vertical="bottom" wrapText="0"/>
    </xf>
    <xf borderId="3" fillId="0" fontId="6" numFmtId="3" xfId="0" applyBorder="1" applyFont="1" applyNumberFormat="1"/>
    <xf borderId="3" fillId="0" fontId="1" numFmtId="3" xfId="0" applyAlignment="1" applyBorder="1" applyFont="1" applyNumberFormat="1">
      <alignment shrinkToFit="0" vertical="center" wrapText="1"/>
    </xf>
    <xf borderId="0" fillId="0" fontId="6" numFmtId="3" xfId="0" applyFont="1" applyNumberFormat="1"/>
    <xf borderId="1" fillId="7" fontId="1" numFmtId="0" xfId="0" applyAlignment="1" applyBorder="1" applyFont="1">
      <alignment horizontal="center" shrinkToFit="0" textRotation="255" vertical="center" wrapText="1"/>
    </xf>
    <xf borderId="3" fillId="7" fontId="2" numFmtId="3" xfId="0" applyAlignment="1" applyBorder="1" applyFont="1" applyNumberFormat="1">
      <alignment horizontal="right" shrinkToFit="0" vertical="bottom" wrapText="0"/>
    </xf>
    <xf borderId="3" fillId="7" fontId="2" numFmtId="3" xfId="0" applyAlignment="1" applyBorder="1" applyFont="1" applyNumberFormat="1">
      <alignment horizontal="right" readingOrder="0" shrinkToFit="0" vertical="bottom" wrapText="0"/>
    </xf>
    <xf borderId="3" fillId="7" fontId="2" numFmtId="0" xfId="0" applyAlignment="1" applyBorder="1" applyFont="1">
      <alignment horizontal="right" shrinkToFit="0" vertical="bottom" wrapText="0"/>
    </xf>
    <xf borderId="3" fillId="7" fontId="6" numFmtId="3" xfId="0" applyBorder="1" applyFont="1" applyNumberFormat="1"/>
    <xf borderId="0" fillId="7" fontId="6" numFmtId="3" xfId="0" applyFont="1" applyNumberFormat="1"/>
    <xf borderId="0" fillId="7" fontId="6" numFmtId="10" xfId="0" applyFont="1" applyNumberFormat="1"/>
    <xf borderId="0" fillId="7" fontId="6" numFmtId="0" xfId="0" applyFont="1"/>
    <xf borderId="3" fillId="13" fontId="2" numFmtId="0" xfId="0" applyAlignment="1" applyBorder="1" applyFill="1" applyFont="1">
      <alignment horizontal="center" vertical="center"/>
    </xf>
    <xf borderId="3" fillId="13" fontId="2" numFmtId="0" xfId="0" applyAlignment="1" applyBorder="1" applyFont="1">
      <alignment vertical="center"/>
    </xf>
    <xf borderId="3" fillId="13" fontId="2" numFmtId="3" xfId="0" applyAlignment="1" applyBorder="1" applyFont="1" applyNumberFormat="1">
      <alignment horizontal="right" shrinkToFit="0" vertical="bottom" wrapText="0"/>
    </xf>
    <xf borderId="3" fillId="13" fontId="2" numFmtId="0" xfId="0" applyAlignment="1" applyBorder="1" applyFont="1">
      <alignment horizontal="right" shrinkToFit="0" vertical="bottom" wrapText="0"/>
    </xf>
    <xf borderId="3" fillId="13" fontId="2" numFmtId="0" xfId="0" applyAlignment="1" applyBorder="1" applyFont="1">
      <alignment horizontal="right" readingOrder="0" shrinkToFit="0" vertical="bottom" wrapText="0"/>
    </xf>
    <xf borderId="3" fillId="13" fontId="6" numFmtId="3" xfId="0" applyBorder="1" applyFont="1" applyNumberFormat="1"/>
    <xf borderId="0" fillId="13" fontId="6" numFmtId="3" xfId="0" applyFont="1" applyNumberFormat="1"/>
    <xf borderId="0" fillId="13" fontId="6" numFmtId="10" xfId="0" applyFont="1" applyNumberFormat="1"/>
    <xf borderId="0" fillId="13" fontId="6" numFmtId="0" xfId="0" applyFont="1"/>
    <xf borderId="3" fillId="13" fontId="2" numFmtId="3" xfId="0" applyAlignment="1" applyBorder="1" applyFont="1" applyNumberFormat="1">
      <alignment horizontal="right" readingOrder="0" shrinkToFit="0" vertical="bottom" wrapText="0"/>
    </xf>
    <xf borderId="3" fillId="6" fontId="2" numFmtId="0" xfId="0" applyAlignment="1" applyBorder="1" applyFont="1">
      <alignment horizontal="center" vertical="center"/>
    </xf>
    <xf borderId="3" fillId="6" fontId="2" numFmtId="0" xfId="0" applyAlignment="1" applyBorder="1" applyFont="1">
      <alignment vertical="center"/>
    </xf>
    <xf borderId="3" fillId="6" fontId="2" numFmtId="3" xfId="0" applyAlignment="1" applyBorder="1" applyFont="1" applyNumberFormat="1">
      <alignment horizontal="right" shrinkToFit="0" vertical="bottom" wrapText="0"/>
    </xf>
    <xf borderId="3" fillId="6" fontId="2" numFmtId="3" xfId="0" applyAlignment="1" applyBorder="1" applyFont="1" applyNumberFormat="1">
      <alignment horizontal="right" readingOrder="0" shrinkToFit="0" vertical="bottom" wrapText="0"/>
    </xf>
    <xf borderId="3" fillId="6" fontId="2" numFmtId="0" xfId="0" applyAlignment="1" applyBorder="1" applyFont="1">
      <alignment horizontal="right" shrinkToFit="0" vertical="bottom" wrapText="0"/>
    </xf>
    <xf borderId="3" fillId="6" fontId="2" numFmtId="0" xfId="0" applyAlignment="1" applyBorder="1" applyFont="1">
      <alignment horizontal="right" readingOrder="0" shrinkToFit="0" vertical="bottom" wrapText="0"/>
    </xf>
    <xf borderId="3" fillId="6" fontId="6" numFmtId="3" xfId="0" applyBorder="1" applyFont="1" applyNumberFormat="1"/>
    <xf borderId="0" fillId="6" fontId="6" numFmtId="3" xfId="0" applyFont="1" applyNumberFormat="1"/>
    <xf borderId="0" fillId="6" fontId="6" numFmtId="10" xfId="0" applyFont="1" applyNumberFormat="1"/>
    <xf borderId="0" fillId="6" fontId="6" numFmtId="0" xfId="0" applyFont="1"/>
    <xf borderId="3" fillId="14" fontId="2" numFmtId="0" xfId="0" applyAlignment="1" applyBorder="1" applyFill="1" applyFont="1">
      <alignment horizontal="center" vertical="center"/>
    </xf>
    <xf borderId="3" fillId="14" fontId="2" numFmtId="0" xfId="0" applyAlignment="1" applyBorder="1" applyFont="1">
      <alignment vertical="center"/>
    </xf>
    <xf borderId="3" fillId="14" fontId="2" numFmtId="3" xfId="0" applyAlignment="1" applyBorder="1" applyFont="1" applyNumberFormat="1">
      <alignment horizontal="right" shrinkToFit="0" vertical="bottom" wrapText="0"/>
    </xf>
    <xf borderId="3" fillId="14" fontId="2" numFmtId="0" xfId="0" applyAlignment="1" applyBorder="1" applyFont="1">
      <alignment horizontal="right" shrinkToFit="0" vertical="bottom" wrapText="0"/>
    </xf>
    <xf borderId="3" fillId="14" fontId="6" numFmtId="3" xfId="0" applyBorder="1" applyFont="1" applyNumberFormat="1"/>
    <xf borderId="0" fillId="14" fontId="6" numFmtId="3" xfId="0" applyFont="1" applyNumberFormat="1"/>
    <xf borderId="0" fillId="14" fontId="6" numFmtId="10" xfId="0" applyFont="1" applyNumberFormat="1"/>
    <xf borderId="0" fillId="14" fontId="6" numFmtId="0" xfId="0" applyFont="1"/>
    <xf borderId="3" fillId="0" fontId="2" numFmtId="3" xfId="0" applyAlignment="1" applyBorder="1" applyFont="1" applyNumberFormat="1">
      <alignment horizontal="right" readingOrder="0" shrinkToFit="0" vertical="bottom" wrapText="0"/>
    </xf>
    <xf borderId="0" fillId="0" fontId="6" numFmtId="10" xfId="0" applyFont="1" applyNumberFormat="1"/>
    <xf borderId="3" fillId="8" fontId="2" numFmtId="3" xfId="0" applyAlignment="1" applyBorder="1" applyFont="1" applyNumberFormat="1">
      <alignment horizontal="right" shrinkToFit="0" vertical="bottom" wrapText="0"/>
    </xf>
    <xf borderId="3" fillId="8" fontId="2" numFmtId="0" xfId="0" applyAlignment="1" applyBorder="1" applyFont="1">
      <alignment horizontal="right" shrinkToFit="0" vertical="bottom" wrapText="0"/>
    </xf>
    <xf borderId="3" fillId="8" fontId="6" numFmtId="3" xfId="0" applyBorder="1" applyFont="1" applyNumberFormat="1"/>
    <xf borderId="0" fillId="8" fontId="6" numFmtId="3" xfId="0" applyFont="1" applyNumberFormat="1"/>
    <xf borderId="0" fillId="8" fontId="6" numFmtId="10" xfId="0" applyFont="1" applyNumberFormat="1"/>
    <xf borderId="0" fillId="8" fontId="6" numFmtId="0" xfId="0" applyFont="1"/>
    <xf borderId="3" fillId="15" fontId="2" numFmtId="0" xfId="0" applyAlignment="1" applyBorder="1" applyFill="1" applyFont="1">
      <alignment horizontal="center" vertical="center"/>
    </xf>
    <xf borderId="3" fillId="15" fontId="2" numFmtId="0" xfId="0" applyAlignment="1" applyBorder="1" applyFont="1">
      <alignment vertical="center"/>
    </xf>
    <xf borderId="3" fillId="15" fontId="2" numFmtId="3" xfId="0" applyAlignment="1" applyBorder="1" applyFont="1" applyNumberFormat="1">
      <alignment horizontal="right" shrinkToFit="0" vertical="bottom" wrapText="0"/>
    </xf>
    <xf borderId="3" fillId="15" fontId="2" numFmtId="0" xfId="0" applyAlignment="1" applyBorder="1" applyFont="1">
      <alignment horizontal="right" shrinkToFit="0" vertical="bottom" wrapText="0"/>
    </xf>
    <xf borderId="3" fillId="15" fontId="6" numFmtId="3" xfId="0" applyBorder="1" applyFont="1" applyNumberFormat="1"/>
    <xf borderId="0" fillId="15" fontId="6" numFmtId="3" xfId="0" applyFont="1" applyNumberFormat="1"/>
    <xf borderId="0" fillId="15" fontId="6" numFmtId="10" xfId="0" applyFont="1" applyNumberFormat="1"/>
    <xf borderId="0" fillId="15" fontId="6" numFmtId="0" xfId="0" applyFont="1"/>
    <xf borderId="3" fillId="0" fontId="2" numFmtId="0" xfId="0" applyAlignment="1" applyBorder="1" applyFont="1">
      <alignment horizontal="right" readingOrder="0" shrinkToFit="0" vertical="bottom" wrapText="0"/>
    </xf>
    <xf borderId="3" fillId="2" fontId="2" numFmtId="0" xfId="0" applyAlignment="1" applyBorder="1" applyFont="1">
      <alignment horizontal="center" vertical="center"/>
    </xf>
    <xf borderId="3" fillId="2" fontId="2" numFmtId="3" xfId="0" applyAlignment="1" applyBorder="1" applyFont="1" applyNumberFormat="1">
      <alignment horizontal="right" shrinkToFit="0" vertical="bottom" wrapText="0"/>
    </xf>
    <xf borderId="3" fillId="2" fontId="2" numFmtId="0" xfId="0" applyAlignment="1" applyBorder="1" applyFont="1">
      <alignment horizontal="right" shrinkToFit="0" vertical="bottom" wrapText="0"/>
    </xf>
    <xf borderId="3" fillId="2" fontId="6" numFmtId="3" xfId="0" applyBorder="1" applyFont="1" applyNumberFormat="1"/>
    <xf borderId="0" fillId="2" fontId="6" numFmtId="3" xfId="0" applyFont="1" applyNumberFormat="1"/>
    <xf borderId="0" fillId="2" fontId="6" numFmtId="10" xfId="0" applyFont="1" applyNumberFormat="1"/>
    <xf borderId="0" fillId="2" fontId="6" numFmtId="0" xfId="0" applyFont="1"/>
    <xf borderId="3" fillId="16" fontId="2" numFmtId="0" xfId="0" applyAlignment="1" applyBorder="1" applyFill="1" applyFont="1">
      <alignment horizontal="center" vertical="center"/>
    </xf>
    <xf borderId="3" fillId="16" fontId="2" numFmtId="0" xfId="0" applyAlignment="1" applyBorder="1" applyFont="1">
      <alignment vertical="center"/>
    </xf>
    <xf borderId="3" fillId="16" fontId="2" numFmtId="3" xfId="0" applyAlignment="1" applyBorder="1" applyFont="1" applyNumberFormat="1">
      <alignment horizontal="right" shrinkToFit="0" vertical="bottom" wrapText="0"/>
    </xf>
    <xf borderId="3" fillId="16" fontId="2" numFmtId="0" xfId="0" applyAlignment="1" applyBorder="1" applyFont="1">
      <alignment horizontal="right" shrinkToFit="0" vertical="bottom" wrapText="0"/>
    </xf>
    <xf borderId="3" fillId="16" fontId="6" numFmtId="3" xfId="0" applyBorder="1" applyFont="1" applyNumberFormat="1"/>
    <xf borderId="0" fillId="16" fontId="6" numFmtId="3" xfId="0" applyFont="1" applyNumberFormat="1"/>
    <xf borderId="0" fillId="16" fontId="6" numFmtId="10" xfId="0" applyFont="1" applyNumberFormat="1"/>
    <xf borderId="0" fillId="16" fontId="6" numFmtId="0" xfId="0" applyFont="1"/>
    <xf borderId="3" fillId="0" fontId="4" numFmtId="3" xfId="0" applyAlignment="1" applyBorder="1" applyFont="1" applyNumberFormat="1">
      <alignment shrinkToFit="0" wrapText="1"/>
    </xf>
    <xf borderId="0" fillId="0" fontId="7" numFmtId="3" xfId="0" applyFont="1" applyNumberFormat="1"/>
    <xf borderId="0" fillId="0" fontId="7" numFmtId="10" xfId="0" applyFont="1" applyNumberFormat="1"/>
    <xf borderId="3" fillId="7" fontId="2" numFmtId="0" xfId="0" applyAlignment="1" applyBorder="1" applyFont="1">
      <alignment horizontal="right" readingOrder="0" shrinkToFit="0" vertical="bottom" wrapText="0"/>
    </xf>
    <xf borderId="0" fillId="0" fontId="8" numFmtId="10" xfId="0" applyFont="1" applyNumberFormat="1"/>
    <xf borderId="3" fillId="0" fontId="2" numFmtId="10" xfId="0" applyAlignment="1" applyBorder="1" applyFont="1" applyNumberFormat="1">
      <alignment horizontal="center" vertical="center"/>
    </xf>
    <xf borderId="3" fillId="0" fontId="4" numFmtId="16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3" fillId="17" fontId="2" numFmtId="0" xfId="0" applyAlignment="1" applyBorder="1" applyFill="1" applyFont="1">
      <alignment horizontal="center" vertical="center"/>
    </xf>
    <xf borderId="3" fillId="17" fontId="2" numFmtId="0" xfId="0" applyAlignment="1" applyBorder="1" applyFont="1">
      <alignment vertical="center"/>
    </xf>
    <xf borderId="3" fillId="17" fontId="2" numFmtId="3" xfId="0" applyAlignment="1" applyBorder="1" applyFont="1" applyNumberFormat="1">
      <alignment vertical="center"/>
    </xf>
    <xf borderId="0" fillId="17" fontId="2" numFmtId="164" xfId="0" applyAlignment="1" applyFont="1" applyNumberFormat="1">
      <alignment horizontal="right" vertical="center"/>
    </xf>
    <xf borderId="0" fillId="17" fontId="8" numFmtId="0" xfId="0" applyFont="1"/>
    <xf borderId="3" fillId="12" fontId="2" numFmtId="3" xfId="0" applyAlignment="1" applyBorder="1" applyFont="1" applyNumberFormat="1">
      <alignment vertical="center"/>
    </xf>
    <xf borderId="2" fillId="0" fontId="1" numFmtId="0" xfId="0" applyAlignment="1" applyBorder="1" applyFont="1">
      <alignment horizontal="center" shrinkToFit="0" textRotation="255" vertical="center" wrapText="1"/>
    </xf>
    <xf borderId="0" fillId="7" fontId="4" numFmtId="164" xfId="0" applyAlignment="1" applyFont="1" applyNumberFormat="1">
      <alignment horizontal="right" vertical="center"/>
    </xf>
    <xf borderId="3" fillId="0" fontId="1" numFmtId="9" xfId="0" applyAlignment="1" applyBorder="1" applyFont="1" applyNumberFormat="1">
      <alignment vertical="center"/>
    </xf>
    <xf borderId="3" fillId="0" fontId="6" numFmtId="164" xfId="0" applyAlignment="1" applyBorder="1" applyFont="1" applyNumberFormat="1">
      <alignment vertical="center"/>
    </xf>
    <xf borderId="3" fillId="0" fontId="7" numFmtId="164" xfId="0" applyAlignment="1" applyBorder="1" applyFont="1" applyNumberFormat="1">
      <alignment vertical="center"/>
    </xf>
    <xf borderId="3" fillId="0" fontId="4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57"/>
    <col customWidth="1" min="2" max="2" width="5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 t="s">
        <v>12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idden="1">
      <c r="A3" s="4">
        <v>3003.0</v>
      </c>
      <c r="B3" s="5" t="s">
        <v>13</v>
      </c>
      <c r="C3" s="6">
        <f>'JENIS ASN'!F6</f>
        <v>2806</v>
      </c>
      <c r="D3" s="6">
        <f>'JENKEL ASN'!H7</f>
        <v>2806</v>
      </c>
      <c r="E3" s="6">
        <f>'GOLONGAN ASN'!Q7</f>
        <v>2806</v>
      </c>
      <c r="F3" s="6">
        <f>'PENDIDIKAN ASN'!V7</f>
        <v>2806</v>
      </c>
      <c r="G3" s="7">
        <f>'USIA ASN'!L7</f>
        <v>2806</v>
      </c>
      <c r="H3" s="6">
        <f>'GEN ASN'!H6</f>
        <v>2806</v>
      </c>
      <c r="I3" s="6">
        <f>'GA DIPAKE JABATAN ASN'!G7</f>
        <v>0</v>
      </c>
      <c r="J3" s="6">
        <f>'MASA KERJA ASN'!H6</f>
        <v>2806</v>
      </c>
      <c r="K3" s="6">
        <v>2806.0</v>
      </c>
      <c r="L3" s="8" t="str">
        <f t="shared" ref="L3:L17" si="1">IF(AND(C3=D3 , C3=E3 , C3=F3 , C3=G3 , C3=H3 , C3=J3), "Y", "X")</f>
        <v>Y</v>
      </c>
      <c r="M3" s="2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idden="1">
      <c r="A4" s="4">
        <v>3005.0</v>
      </c>
      <c r="B4" s="5" t="s">
        <v>19</v>
      </c>
      <c r="C4" s="6">
        <f>'JENIS ASN'!F7</f>
        <v>3013</v>
      </c>
      <c r="D4" s="6">
        <f>'JENKEL ASN'!H8</f>
        <v>3013</v>
      </c>
      <c r="E4" s="6">
        <f>'GOLONGAN ASN'!Q8</f>
        <v>3013</v>
      </c>
      <c r="F4" s="6">
        <f>'PENDIDIKAN ASN'!V8</f>
        <v>3013</v>
      </c>
      <c r="G4" s="7">
        <f>'USIA ASN'!L8</f>
        <v>3013</v>
      </c>
      <c r="H4" s="6">
        <f>'GEN ASN'!H7</f>
        <v>3013</v>
      </c>
      <c r="I4" s="6">
        <f>'GA DIPAKE JABATAN ASN'!G8</f>
        <v>0</v>
      </c>
      <c r="J4" s="6">
        <f>'MASA KERJA ASN'!H7</f>
        <v>3013</v>
      </c>
      <c r="K4" s="6">
        <v>3013.0</v>
      </c>
      <c r="L4" s="8" t="str">
        <f t="shared" si="1"/>
        <v>Y</v>
      </c>
      <c r="M4" s="2"/>
      <c r="N4" s="10">
        <f>COUNTIF($L$3:$L$59 , "Y")</f>
        <v>46</v>
      </c>
      <c r="O4" s="10">
        <f>COUNTIF(L3:L59 , "X")</f>
        <v>6</v>
      </c>
      <c r="P4" s="10">
        <f>SUM(N4:O4)</f>
        <v>52</v>
      </c>
      <c r="Q4" s="11">
        <f>N4/P4*100</f>
        <v>88.46153846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idden="1">
      <c r="A5" s="4">
        <v>3006.0</v>
      </c>
      <c r="B5" s="5" t="s">
        <v>20</v>
      </c>
      <c r="C5" s="6">
        <f>'JENIS ASN'!F8</f>
        <v>1622</v>
      </c>
      <c r="D5" s="6">
        <f>'JENKEL ASN'!H9</f>
        <v>1622</v>
      </c>
      <c r="E5" s="6">
        <f>'GOLONGAN ASN'!Q9</f>
        <v>1622</v>
      </c>
      <c r="F5" s="6">
        <f>'PENDIDIKAN ASN'!V9</f>
        <v>1622</v>
      </c>
      <c r="G5" s="7">
        <f>'USIA ASN'!L9</f>
        <v>1622</v>
      </c>
      <c r="H5" s="6">
        <f>'GEN ASN'!H8</f>
        <v>1622</v>
      </c>
      <c r="I5" s="6">
        <f>'GA DIPAKE JABATAN ASN'!G9</f>
        <v>0</v>
      </c>
      <c r="J5" s="6">
        <f>'MASA KERJA ASN'!H8</f>
        <v>1622</v>
      </c>
      <c r="K5" s="6">
        <v>1622.0</v>
      </c>
      <c r="L5" s="8" t="str">
        <f t="shared" si="1"/>
        <v>Y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idden="1">
      <c r="A6" s="4">
        <v>3012.0</v>
      </c>
      <c r="B6" s="5" t="s">
        <v>21</v>
      </c>
      <c r="C6" s="6">
        <f>'JENIS ASN'!F9</f>
        <v>26106</v>
      </c>
      <c r="D6" s="6">
        <f>'JENKEL ASN'!H10</f>
        <v>26106</v>
      </c>
      <c r="E6" s="6">
        <f>'GOLONGAN ASN'!Q10</f>
        <v>26106</v>
      </c>
      <c r="F6" s="6">
        <f>'PENDIDIKAN ASN'!V10</f>
        <v>26106</v>
      </c>
      <c r="G6" s="7">
        <f>'USIA ASN'!L10</f>
        <v>26106</v>
      </c>
      <c r="H6" s="6">
        <f>'GEN ASN'!H9</f>
        <v>26106</v>
      </c>
      <c r="I6" s="6">
        <f>'GA DIPAKE JABATAN ASN'!G10</f>
        <v>0</v>
      </c>
      <c r="J6" s="6">
        <f>'MASA KERJA ASN'!H9</f>
        <v>26106</v>
      </c>
      <c r="K6" s="6">
        <v>26106.0</v>
      </c>
      <c r="L6" s="8" t="str">
        <f t="shared" si="1"/>
        <v>Y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idden="1">
      <c r="A7" s="4">
        <v>3024.0</v>
      </c>
      <c r="B7" s="5" t="s">
        <v>22</v>
      </c>
      <c r="C7" s="6">
        <f>'JENIS ASN'!F10</f>
        <v>32</v>
      </c>
      <c r="D7" s="6">
        <f>'JENKEL ASN'!H11</f>
        <v>32</v>
      </c>
      <c r="E7" s="6">
        <f>'GOLONGAN ASN'!Q11</f>
        <v>32</v>
      </c>
      <c r="F7" s="6">
        <f>'PENDIDIKAN ASN'!V11</f>
        <v>32</v>
      </c>
      <c r="G7" s="7">
        <f>'USIA ASN'!L11</f>
        <v>32</v>
      </c>
      <c r="H7" s="6">
        <f>'GEN ASN'!H10</f>
        <v>32</v>
      </c>
      <c r="I7" s="6">
        <f>'GA DIPAKE JABATAN ASN'!G11</f>
        <v>0</v>
      </c>
      <c r="J7" s="6">
        <f>'MASA KERJA ASN'!H10</f>
        <v>32</v>
      </c>
      <c r="K7" s="6">
        <v>3657.0</v>
      </c>
      <c r="L7" s="8" t="str">
        <f t="shared" si="1"/>
        <v>Y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idden="1">
      <c r="A8" s="4">
        <v>3038.0</v>
      </c>
      <c r="B8" s="5" t="s">
        <v>23</v>
      </c>
      <c r="C8" s="6">
        <f>'JENIS ASN'!F11</f>
        <v>3657</v>
      </c>
      <c r="D8" s="6">
        <f>'JENKEL ASN'!H12</f>
        <v>3657</v>
      </c>
      <c r="E8" s="6">
        <f>'GOLONGAN ASN'!Q12</f>
        <v>3657</v>
      </c>
      <c r="F8" s="6">
        <f>'PENDIDIKAN ASN'!V12</f>
        <v>3657</v>
      </c>
      <c r="G8" s="7">
        <f>'USIA ASN'!L12</f>
        <v>3657</v>
      </c>
      <c r="H8" s="6">
        <f>'GEN ASN'!H11</f>
        <v>3657</v>
      </c>
      <c r="I8" s="6">
        <f>'GA DIPAKE JABATAN ASN'!G12</f>
        <v>0</v>
      </c>
      <c r="J8" s="6">
        <f>'MASA KERJA ASN'!H11</f>
        <v>3657</v>
      </c>
      <c r="K8" s="6">
        <v>200.0</v>
      </c>
      <c r="L8" s="8" t="str">
        <f t="shared" si="1"/>
        <v>Y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idden="1">
      <c r="A9" s="4">
        <v>4002.0</v>
      </c>
      <c r="B9" s="5" t="s">
        <v>24</v>
      </c>
      <c r="C9" s="6">
        <f>'JENIS ASN'!F12</f>
        <v>200</v>
      </c>
      <c r="D9" s="6">
        <f>'JENKEL ASN'!H13</f>
        <v>200</v>
      </c>
      <c r="E9" s="6">
        <f>'GOLONGAN ASN'!Q13</f>
        <v>200</v>
      </c>
      <c r="F9" s="6">
        <f>'PENDIDIKAN ASN'!V13</f>
        <v>200</v>
      </c>
      <c r="G9" s="7">
        <f>'USIA ASN'!L13</f>
        <v>200</v>
      </c>
      <c r="H9" s="6">
        <f>'GEN ASN'!H12</f>
        <v>200</v>
      </c>
      <c r="I9" s="6">
        <f>'GA DIPAKE JABATAN ASN'!G13</f>
        <v>0</v>
      </c>
      <c r="J9" s="6">
        <f>'MASA KERJA ASN'!H12</f>
        <v>200</v>
      </c>
      <c r="K9" s="6">
        <v>63.0</v>
      </c>
      <c r="L9" s="8" t="str">
        <f t="shared" si="1"/>
        <v>Y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idden="1">
      <c r="A10" s="4">
        <v>4007.0</v>
      </c>
      <c r="B10" s="5" t="s">
        <v>25</v>
      </c>
      <c r="C10" s="6">
        <f>'JENIS ASN'!F13</f>
        <v>63</v>
      </c>
      <c r="D10" s="6">
        <f>'JENKEL ASN'!H14</f>
        <v>63</v>
      </c>
      <c r="E10" s="6">
        <f>'GOLONGAN ASN'!Q14</f>
        <v>63</v>
      </c>
      <c r="F10" s="6">
        <f>'PENDIDIKAN ASN'!V14</f>
        <v>63</v>
      </c>
      <c r="G10" s="7">
        <f>'USIA ASN'!L14</f>
        <v>63</v>
      </c>
      <c r="H10" s="6">
        <f>'GEN ASN'!H13</f>
        <v>63</v>
      </c>
      <c r="I10" s="6">
        <f>'GA DIPAKE JABATAN ASN'!G15</f>
        <v>0</v>
      </c>
      <c r="J10" s="6">
        <f>'MASA KERJA ASN'!H13</f>
        <v>63</v>
      </c>
      <c r="K10" s="6">
        <v>2368.0</v>
      </c>
      <c r="L10" s="8" t="str">
        <f t="shared" si="1"/>
        <v>Y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idden="1">
      <c r="A11" s="4">
        <v>4008.0</v>
      </c>
      <c r="B11" s="5" t="s">
        <v>26</v>
      </c>
      <c r="C11" s="6">
        <f>'JENIS ASN'!F14</f>
        <v>2368</v>
      </c>
      <c r="D11" s="6">
        <f>'JENKEL ASN'!H15</f>
        <v>2368</v>
      </c>
      <c r="E11" s="6">
        <f>'GOLONGAN ASN'!Q15</f>
        <v>2368</v>
      </c>
      <c r="F11" s="6">
        <f>'PENDIDIKAN ASN'!V16</f>
        <v>239</v>
      </c>
      <c r="G11" s="7">
        <f>'USIA ASN'!L16</f>
        <v>239</v>
      </c>
      <c r="H11" s="6">
        <f>'GEN ASN'!H14</f>
        <v>2368</v>
      </c>
      <c r="I11" s="6">
        <f>'GA DIPAKE JABATAN ASN'!G16</f>
        <v>0</v>
      </c>
      <c r="J11" s="6">
        <f>'MASA KERJA ASN'!H15</f>
        <v>239</v>
      </c>
      <c r="K11" s="6">
        <v>239.0</v>
      </c>
      <c r="L11" s="8" t="str">
        <f t="shared" si="1"/>
        <v>X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idden="1">
      <c r="A12" s="4">
        <v>4016.0</v>
      </c>
      <c r="B12" s="5" t="s">
        <v>27</v>
      </c>
      <c r="C12" s="6">
        <f>'JENIS ASN'!F15</f>
        <v>239</v>
      </c>
      <c r="D12" s="6">
        <f>'JENKEL ASN'!H17</f>
        <v>1286</v>
      </c>
      <c r="E12" s="6">
        <f>'GOLONGAN ASN'!Q16</f>
        <v>239</v>
      </c>
      <c r="F12" s="6">
        <f>'PENDIDIKAN ASN'!V17</f>
        <v>1286</v>
      </c>
      <c r="G12" s="7">
        <f>'USIA ASN'!L17</f>
        <v>1286</v>
      </c>
      <c r="H12" s="6">
        <f>'GEN ASN'!H15</f>
        <v>239</v>
      </c>
      <c r="I12" s="6">
        <f>'GA DIPAKE JABATAN ASN'!G17</f>
        <v>0</v>
      </c>
      <c r="J12" s="6">
        <f>'MASA KERJA ASN'!H16</f>
        <v>1286</v>
      </c>
      <c r="K12" s="6">
        <v>1286.0</v>
      </c>
      <c r="L12" s="8" t="str">
        <f t="shared" si="1"/>
        <v>X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idden="1">
      <c r="A13" s="4">
        <v>4020.0</v>
      </c>
      <c r="B13" s="5" t="s">
        <v>28</v>
      </c>
      <c r="C13" s="6">
        <f>'JENIS ASN'!F16</f>
        <v>1286</v>
      </c>
      <c r="D13" s="6">
        <f>'JENKEL ASN'!H18</f>
        <v>1746</v>
      </c>
      <c r="E13" s="6">
        <f>'GOLONGAN ASN'!Q18</f>
        <v>1746</v>
      </c>
      <c r="F13" s="6">
        <f>'PENDIDIKAN ASN'!V18</f>
        <v>1746</v>
      </c>
      <c r="G13" s="7">
        <f>'USIA ASN'!L18</f>
        <v>1746</v>
      </c>
      <c r="H13" s="6">
        <f>'GEN ASN'!H16</f>
        <v>1286</v>
      </c>
      <c r="I13" s="6">
        <f>'GA DIPAKE JABATAN ASN'!G18</f>
        <v>0</v>
      </c>
      <c r="J13" s="6">
        <f>'MASA KERJA ASN'!H17</f>
        <v>1746</v>
      </c>
      <c r="K13" s="6">
        <v>1746.0</v>
      </c>
      <c r="L13" s="8" t="str">
        <f t="shared" si="1"/>
        <v>X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idden="1">
      <c r="A14" s="4">
        <v>4023.0</v>
      </c>
      <c r="B14" s="5" t="s">
        <v>29</v>
      </c>
      <c r="C14" s="6">
        <f>'JENIS ASN'!F17</f>
        <v>1746</v>
      </c>
      <c r="D14" s="6">
        <f>'JENKEL ASN'!H19</f>
        <v>213</v>
      </c>
      <c r="E14" s="6">
        <f>'GOLONGAN ASN'!Q19</f>
        <v>213</v>
      </c>
      <c r="F14" s="6">
        <f>'PENDIDIKAN ASN'!V19</f>
        <v>213</v>
      </c>
      <c r="G14" s="7">
        <f>'USIA ASN'!L19</f>
        <v>213</v>
      </c>
      <c r="H14" s="6">
        <f>'GEN ASN'!H17</f>
        <v>1746</v>
      </c>
      <c r="I14" s="6">
        <f>'GA DIPAKE JABATAN ASN'!G19</f>
        <v>0</v>
      </c>
      <c r="J14" s="6">
        <f>'MASA KERJA ASN'!H18</f>
        <v>213</v>
      </c>
      <c r="K14" s="6">
        <v>213.0</v>
      </c>
      <c r="L14" s="8" t="str">
        <f t="shared" si="1"/>
        <v>X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idden="1">
      <c r="A15" s="4">
        <v>4024.0</v>
      </c>
      <c r="B15" s="5" t="s">
        <v>30</v>
      </c>
      <c r="C15" s="6">
        <f>'JENIS ASN'!F18</f>
        <v>213</v>
      </c>
      <c r="D15" s="6">
        <f>'JENKEL ASN'!H20</f>
        <v>206</v>
      </c>
      <c r="E15" s="6">
        <f>'GOLONGAN ASN'!Q20</f>
        <v>206</v>
      </c>
      <c r="F15" s="6">
        <f>'PENDIDIKAN ASN'!V20</f>
        <v>206</v>
      </c>
      <c r="G15" s="7">
        <f>'USIA ASN'!L20</f>
        <v>206</v>
      </c>
      <c r="H15" s="6">
        <f>'GEN ASN'!H19</f>
        <v>206</v>
      </c>
      <c r="I15" s="6">
        <f>'GA DIPAKE JABATAN ASN'!G20</f>
        <v>0</v>
      </c>
      <c r="J15" s="6">
        <f>'MASA KERJA ASN'!H19</f>
        <v>206</v>
      </c>
      <c r="K15" s="6">
        <v>206.0</v>
      </c>
      <c r="L15" s="8" t="str">
        <f t="shared" si="1"/>
        <v>X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idden="1">
      <c r="A16" s="4">
        <v>4033.0</v>
      </c>
      <c r="B16" s="5" t="s">
        <v>31</v>
      </c>
      <c r="C16" s="6">
        <f>'JENIS ASN'!F19</f>
        <v>206</v>
      </c>
      <c r="D16" s="6">
        <f>'JENKEL ASN'!H21</f>
        <v>925</v>
      </c>
      <c r="E16" s="6">
        <f>'GOLONGAN ASN'!Q21</f>
        <v>925</v>
      </c>
      <c r="F16" s="6">
        <f>'PENDIDIKAN ASN'!V21</f>
        <v>925</v>
      </c>
      <c r="G16" s="7">
        <f>'USIA ASN'!L21</f>
        <v>925</v>
      </c>
      <c r="H16" s="6">
        <f>'GEN ASN'!H20</f>
        <v>925</v>
      </c>
      <c r="I16" s="6">
        <f>'GA DIPAKE JABATAN ASN'!G21</f>
        <v>0</v>
      </c>
      <c r="J16" s="6">
        <f>'MASA KERJA ASN'!H20</f>
        <v>925</v>
      </c>
      <c r="K16" s="6">
        <v>925.0</v>
      </c>
      <c r="L16" s="8" t="str">
        <f t="shared" si="1"/>
        <v>X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idden="1">
      <c r="A17" s="4">
        <v>4071.0</v>
      </c>
      <c r="B17" s="5" t="s">
        <v>32</v>
      </c>
      <c r="C17" s="6">
        <f>'JENIS ASN'!F21</f>
        <v>395</v>
      </c>
      <c r="D17" s="6">
        <f>'JENKEL ASN'!H22</f>
        <v>395</v>
      </c>
      <c r="E17" s="6">
        <f>'GOLONGAN ASN'!Q22</f>
        <v>395</v>
      </c>
      <c r="F17" s="6">
        <f>'PENDIDIKAN ASN'!V22</f>
        <v>395</v>
      </c>
      <c r="G17" s="7">
        <f>'USIA ASN'!L22</f>
        <v>395</v>
      </c>
      <c r="H17" s="6">
        <f>'GEN ASN'!H21</f>
        <v>395</v>
      </c>
      <c r="I17" s="6">
        <f>'GA DIPAKE JABATAN ASN'!G22</f>
        <v>0</v>
      </c>
      <c r="J17" s="6">
        <f>'MASA KERJA ASN'!H21</f>
        <v>395</v>
      </c>
      <c r="K17" s="6">
        <v>395.0</v>
      </c>
      <c r="L17" s="8" t="str">
        <f t="shared" si="1"/>
        <v>Y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idden="1">
      <c r="A18" s="12"/>
      <c r="B18" s="12"/>
      <c r="C18" s="13">
        <f t="shared" ref="C18:J18" si="2">sum(C3:C17)</f>
        <v>43952</v>
      </c>
      <c r="D18" s="13">
        <f t="shared" si="2"/>
        <v>44638</v>
      </c>
      <c r="E18" s="13">
        <f t="shared" si="2"/>
        <v>43591</v>
      </c>
      <c r="F18" s="13">
        <f t="shared" si="2"/>
        <v>42509</v>
      </c>
      <c r="G18" s="13">
        <f t="shared" si="2"/>
        <v>42509</v>
      </c>
      <c r="H18" s="13">
        <f t="shared" si="2"/>
        <v>44664</v>
      </c>
      <c r="I18" s="13">
        <f t="shared" si="2"/>
        <v>0</v>
      </c>
      <c r="J18" s="13">
        <f t="shared" si="2"/>
        <v>42509</v>
      </c>
      <c r="K18" s="13"/>
      <c r="L18" s="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4">
        <v>6100.0</v>
      </c>
      <c r="B19" s="5" t="s">
        <v>33</v>
      </c>
      <c r="C19" s="6">
        <f>'JENIS ASN'!F23</f>
        <v>52472</v>
      </c>
      <c r="D19" s="6">
        <f>'JENKEL ASN'!H24</f>
        <v>52472</v>
      </c>
      <c r="E19" s="14">
        <f>'GOLONGAN ASN'!Q24</f>
        <v>52472</v>
      </c>
      <c r="F19" s="15">
        <f>'PENDIDIKAN ASN'!V24</f>
        <v>52472</v>
      </c>
      <c r="G19" s="7">
        <f>'USIA ASN'!L24</f>
        <v>52472</v>
      </c>
      <c r="H19" s="6">
        <f>'GEN ASN'!H23</f>
        <v>52472</v>
      </c>
      <c r="I19" s="6" t="str">
        <f>'GA DIPAKE JABATAN ASN'!G24</f>
        <v/>
      </c>
      <c r="J19" s="6">
        <f>'MASA KERJA ASN'!H23</f>
        <v>52472</v>
      </c>
      <c r="K19" s="6">
        <f>'KEL JABATAN FIX'!X19</f>
        <v>52472</v>
      </c>
      <c r="L19" s="8" t="str">
        <f t="shared" ref="L19:L46" si="3">IF(AND(C19=D19 , C19=E19 , C19=F19 , C19=G19 , C19=H19 , C19=C19 , J19=K19), "Y", "X")</f>
        <v>Y</v>
      </c>
      <c r="M19" s="16">
        <f t="shared" ref="M19:M57" si="4">J19-K19</f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4">
        <v>6101.0</v>
      </c>
      <c r="B20" s="5" t="s">
        <v>34</v>
      </c>
      <c r="C20" s="6">
        <f>'JENIS ASN'!F24</f>
        <v>25862</v>
      </c>
      <c r="D20" s="6">
        <f>'JENKEL ASN'!H25</f>
        <v>25862</v>
      </c>
      <c r="E20" s="6">
        <f>'GOLONGAN ASN'!Q25</f>
        <v>25862</v>
      </c>
      <c r="F20" s="15">
        <f>'PENDIDIKAN ASN'!V25</f>
        <v>25862</v>
      </c>
      <c r="G20" s="7">
        <f>'USIA ASN'!L25</f>
        <v>25862</v>
      </c>
      <c r="H20" s="6">
        <f>'GEN ASN'!H24</f>
        <v>25862</v>
      </c>
      <c r="I20" s="6" t="str">
        <f>'GA DIPAKE JABATAN ASN'!G25</f>
        <v/>
      </c>
      <c r="J20" s="6">
        <f>'MASA KERJA ASN'!H24</f>
        <v>25862</v>
      </c>
      <c r="K20" s="6">
        <f>'KEL JABATAN FIX'!X20</f>
        <v>25862</v>
      </c>
      <c r="L20" s="8" t="str">
        <f t="shared" si="3"/>
        <v>Y</v>
      </c>
      <c r="M20" s="16">
        <f t="shared" si="4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4">
        <v>6102.0</v>
      </c>
      <c r="B21" s="5" t="s">
        <v>35</v>
      </c>
      <c r="C21" s="6">
        <f>'JENIS ASN'!F25</f>
        <v>13071</v>
      </c>
      <c r="D21" s="6">
        <f>'JENKEL ASN'!H26</f>
        <v>13071</v>
      </c>
      <c r="E21" s="6">
        <f>'GOLONGAN ASN'!Q26</f>
        <v>13071</v>
      </c>
      <c r="F21" s="15">
        <f>'PENDIDIKAN ASN'!V26</f>
        <v>13071</v>
      </c>
      <c r="G21" s="7">
        <f>'USIA ASN'!L26</f>
        <v>13071</v>
      </c>
      <c r="H21" s="6">
        <f>'GEN ASN'!H25</f>
        <v>13071</v>
      </c>
      <c r="I21" s="6" t="str">
        <f>'GA DIPAKE JABATAN ASN'!G26</f>
        <v/>
      </c>
      <c r="J21" s="6">
        <f>'MASA KERJA ASN'!H25</f>
        <v>13071</v>
      </c>
      <c r="K21" s="6">
        <f>'KEL JABATAN FIX'!X21</f>
        <v>13071</v>
      </c>
      <c r="L21" s="8" t="str">
        <f t="shared" si="3"/>
        <v>Y</v>
      </c>
      <c r="M21" s="16">
        <f t="shared" si="4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4">
        <v>6103.0</v>
      </c>
      <c r="B22" s="5" t="s">
        <v>36</v>
      </c>
      <c r="C22" s="6">
        <f>'JENIS ASN'!F26</f>
        <v>15452</v>
      </c>
      <c r="D22" s="6">
        <f>'JENKEL ASN'!H27</f>
        <v>15452</v>
      </c>
      <c r="E22" s="6">
        <f>'GOLONGAN ASN'!Q27</f>
        <v>15452</v>
      </c>
      <c r="F22" s="15">
        <f>'PENDIDIKAN ASN'!V27</f>
        <v>15452</v>
      </c>
      <c r="G22" s="7">
        <f>'USIA ASN'!L27</f>
        <v>15452</v>
      </c>
      <c r="H22" s="6">
        <f>'GEN ASN'!H26</f>
        <v>15452</v>
      </c>
      <c r="I22" s="6" t="str">
        <f>'GA DIPAKE JABATAN ASN'!G27</f>
        <v/>
      </c>
      <c r="J22" s="6">
        <f>'MASA KERJA ASN'!H26</f>
        <v>15452</v>
      </c>
      <c r="K22" s="6">
        <f>'KEL JABATAN FIX'!X22</f>
        <v>15452</v>
      </c>
      <c r="L22" s="8" t="str">
        <f t="shared" si="3"/>
        <v>Y</v>
      </c>
      <c r="M22" s="16">
        <f t="shared" si="4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4">
        <v>6104.0</v>
      </c>
      <c r="B23" s="5" t="s">
        <v>37</v>
      </c>
      <c r="C23" s="6">
        <f>'JENIS ASN'!F27</f>
        <v>22459</v>
      </c>
      <c r="D23" s="6">
        <f>'JENKEL ASN'!H28</f>
        <v>22459</v>
      </c>
      <c r="E23" s="6">
        <f>'GOLONGAN ASN'!Q28</f>
        <v>22459</v>
      </c>
      <c r="F23" s="6">
        <f>'PENDIDIKAN ASN'!V28</f>
        <v>22459</v>
      </c>
      <c r="G23" s="7">
        <f>'USIA ASN'!L28</f>
        <v>22459</v>
      </c>
      <c r="H23" s="6">
        <f>'GEN ASN'!H27</f>
        <v>22459</v>
      </c>
      <c r="I23" s="6" t="str">
        <f>'GA DIPAKE JABATAN ASN'!G28</f>
        <v/>
      </c>
      <c r="J23" s="6">
        <f>'MASA KERJA ASN'!H27</f>
        <v>22459</v>
      </c>
      <c r="K23" s="6">
        <f>'KEL JABATAN FIX'!X23</f>
        <v>22459</v>
      </c>
      <c r="L23" s="8" t="str">
        <f t="shared" si="3"/>
        <v>Y</v>
      </c>
      <c r="M23" s="16">
        <f t="shared" si="4"/>
        <v>0</v>
      </c>
      <c r="N23" s="2" t="s">
        <v>38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4">
        <v>6105.0</v>
      </c>
      <c r="B24" s="5" t="s">
        <v>39</v>
      </c>
      <c r="C24" s="6">
        <f>'JENIS ASN'!F28</f>
        <v>13420</v>
      </c>
      <c r="D24" s="6">
        <f>'JENKEL ASN'!H29</f>
        <v>13420</v>
      </c>
      <c r="E24" s="6">
        <f>'GOLONGAN ASN'!Q29</f>
        <v>13420</v>
      </c>
      <c r="F24" s="6">
        <f>'PENDIDIKAN ASN'!V29</f>
        <v>13420</v>
      </c>
      <c r="G24" s="7">
        <f>'USIA ASN'!L29</f>
        <v>13420</v>
      </c>
      <c r="H24" s="6">
        <f>'GEN ASN'!H28</f>
        <v>13420</v>
      </c>
      <c r="I24" s="6" t="str">
        <f>'GA DIPAKE JABATAN ASN'!G29</f>
        <v/>
      </c>
      <c r="J24" s="6">
        <f>'MASA KERJA ASN'!H28</f>
        <v>13420</v>
      </c>
      <c r="K24" s="6">
        <f>'KEL JABATAN FIX'!X24</f>
        <v>13420</v>
      </c>
      <c r="L24" s="8" t="str">
        <f t="shared" si="3"/>
        <v>Y</v>
      </c>
      <c r="M24" s="16">
        <f t="shared" si="4"/>
        <v>0</v>
      </c>
      <c r="N24" s="9" t="s">
        <v>15</v>
      </c>
      <c r="O24" s="9" t="s">
        <v>16</v>
      </c>
      <c r="P24" s="9" t="s">
        <v>17</v>
      </c>
      <c r="Q24" s="9" t="s">
        <v>18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4">
        <v>6106.0</v>
      </c>
      <c r="B25" s="5" t="s">
        <v>40</v>
      </c>
      <c r="C25" s="6">
        <f>'JENIS ASN'!F29</f>
        <v>8007</v>
      </c>
      <c r="D25" s="6">
        <f>'JENKEL ASN'!H30</f>
        <v>8007</v>
      </c>
      <c r="E25" s="6">
        <f>'GOLONGAN ASN'!Q30</f>
        <v>8007</v>
      </c>
      <c r="F25" s="6">
        <f>'PENDIDIKAN ASN'!V30</f>
        <v>8007</v>
      </c>
      <c r="G25" s="7">
        <f>'USIA ASN'!L30</f>
        <v>8007</v>
      </c>
      <c r="H25" s="6">
        <f>'GEN ASN'!H29</f>
        <v>8007</v>
      </c>
      <c r="I25" s="6" t="str">
        <f>'GA DIPAKE JABATAN ASN'!G30</f>
        <v/>
      </c>
      <c r="J25" s="6">
        <f>'MASA KERJA ASN'!H29</f>
        <v>8007</v>
      </c>
      <c r="K25" s="6">
        <f>'KEL JABATAN FIX'!X25</f>
        <v>8007</v>
      </c>
      <c r="L25" s="8" t="str">
        <f t="shared" si="3"/>
        <v>Y</v>
      </c>
      <c r="M25" s="16">
        <f t="shared" si="4"/>
        <v>0</v>
      </c>
      <c r="N25" s="10">
        <f>COUNTIF($L$19:$L$59 , "Y")</f>
        <v>37</v>
      </c>
      <c r="O25" s="10">
        <f>COUNTIF(L19:L59 , "X")</f>
        <v>0</v>
      </c>
      <c r="P25" s="10">
        <f>SUM(N25:O25)</f>
        <v>37</v>
      </c>
      <c r="Q25" s="11">
        <f>N25/P25*100</f>
        <v>100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4">
        <v>6107.0</v>
      </c>
      <c r="B26" s="5" t="s">
        <v>41</v>
      </c>
      <c r="C26" s="6">
        <f>'JENIS ASN'!F30</f>
        <v>12233</v>
      </c>
      <c r="D26" s="6">
        <f>'JENKEL ASN'!H31</f>
        <v>12233</v>
      </c>
      <c r="E26" s="6">
        <f>'GOLONGAN ASN'!Q31</f>
        <v>12233</v>
      </c>
      <c r="F26" s="6">
        <f>'PENDIDIKAN ASN'!V31</f>
        <v>12233</v>
      </c>
      <c r="G26" s="7">
        <f>'USIA ASN'!L31</f>
        <v>12233</v>
      </c>
      <c r="H26" s="6">
        <f>'GEN ASN'!H30</f>
        <v>12233</v>
      </c>
      <c r="I26" s="6" t="str">
        <f>'GA DIPAKE JABATAN ASN'!G31</f>
        <v/>
      </c>
      <c r="J26" s="6">
        <f>'MASA KERJA ASN'!H30</f>
        <v>12233</v>
      </c>
      <c r="K26" s="6">
        <f>'KEL JABATAN FIX'!X26</f>
        <v>12233</v>
      </c>
      <c r="L26" s="8" t="str">
        <f t="shared" si="3"/>
        <v>Y</v>
      </c>
      <c r="M26" s="16">
        <f t="shared" si="4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4">
        <v>6108.0</v>
      </c>
      <c r="B27" s="5" t="s">
        <v>42</v>
      </c>
      <c r="C27" s="6">
        <f>'JENIS ASN'!F31</f>
        <v>19158</v>
      </c>
      <c r="D27" s="6">
        <f>'JENKEL ASN'!H32</f>
        <v>19158</v>
      </c>
      <c r="E27" s="6">
        <f>'GOLONGAN ASN'!Q32</f>
        <v>19158</v>
      </c>
      <c r="F27" s="15">
        <f>'PENDIDIKAN ASN'!V32</f>
        <v>19158</v>
      </c>
      <c r="G27" s="7">
        <f>'USIA ASN'!L32</f>
        <v>19158</v>
      </c>
      <c r="H27" s="6">
        <f>'GEN ASN'!H31</f>
        <v>19158</v>
      </c>
      <c r="I27" s="6" t="str">
        <f>'GA DIPAKE JABATAN ASN'!G32</f>
        <v/>
      </c>
      <c r="J27" s="6">
        <f>'MASA KERJA ASN'!H31</f>
        <v>19158</v>
      </c>
      <c r="K27" s="6">
        <f>'KEL JABATAN FIX'!X27</f>
        <v>19158</v>
      </c>
      <c r="L27" s="8" t="str">
        <f t="shared" si="3"/>
        <v>Y</v>
      </c>
      <c r="M27" s="16">
        <f t="shared" si="4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4">
        <v>6109.0</v>
      </c>
      <c r="B28" s="5" t="s">
        <v>43</v>
      </c>
      <c r="C28" s="6">
        <f>'JENIS ASN'!F32</f>
        <v>9970</v>
      </c>
      <c r="D28" s="6">
        <f>'JENKEL ASN'!H33</f>
        <v>9970</v>
      </c>
      <c r="E28" s="6">
        <f>'GOLONGAN ASN'!Q33</f>
        <v>9970</v>
      </c>
      <c r="F28" s="6">
        <f>'PENDIDIKAN ASN'!V33</f>
        <v>9970</v>
      </c>
      <c r="G28" s="7">
        <f>'USIA ASN'!L33</f>
        <v>9970</v>
      </c>
      <c r="H28" s="6">
        <f>'GEN ASN'!H32</f>
        <v>9970</v>
      </c>
      <c r="I28" s="6" t="str">
        <f>'GA DIPAKE JABATAN ASN'!G33</f>
        <v/>
      </c>
      <c r="J28" s="6">
        <f>'MASA KERJA ASN'!H32</f>
        <v>9970</v>
      </c>
      <c r="K28" s="6">
        <f>'KEL JABATAN FIX'!X28</f>
        <v>9970</v>
      </c>
      <c r="L28" s="8" t="str">
        <f t="shared" si="3"/>
        <v>Y</v>
      </c>
      <c r="M28" s="16">
        <f t="shared" si="4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4">
        <v>6110.0</v>
      </c>
      <c r="B29" s="5" t="s">
        <v>44</v>
      </c>
      <c r="C29" s="6">
        <f>'JENIS ASN'!F33</f>
        <v>20154</v>
      </c>
      <c r="D29" s="6">
        <f>'JENKEL ASN'!H34</f>
        <v>20154</v>
      </c>
      <c r="E29" s="6">
        <f>'GOLONGAN ASN'!Q34</f>
        <v>20154</v>
      </c>
      <c r="F29" s="6">
        <f>'PENDIDIKAN ASN'!V34</f>
        <v>20154</v>
      </c>
      <c r="G29" s="7">
        <f>'USIA ASN'!L34</f>
        <v>20154</v>
      </c>
      <c r="H29" s="6">
        <f>'GEN ASN'!H33</f>
        <v>20154</v>
      </c>
      <c r="I29" s="6" t="str">
        <f>'GA DIPAKE JABATAN ASN'!G34</f>
        <v/>
      </c>
      <c r="J29" s="6">
        <f>'MASA KERJA ASN'!H33</f>
        <v>20154</v>
      </c>
      <c r="K29" s="6">
        <f>'KEL JABATAN FIX'!X29</f>
        <v>20154</v>
      </c>
      <c r="L29" s="8" t="str">
        <f t="shared" si="3"/>
        <v>Y</v>
      </c>
      <c r="M29" s="16">
        <f t="shared" si="4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4">
        <v>6111.0</v>
      </c>
      <c r="B30" s="5" t="s">
        <v>45</v>
      </c>
      <c r="C30" s="6">
        <f>'JENIS ASN'!F34</f>
        <v>12411</v>
      </c>
      <c r="D30" s="6">
        <f>'JENKEL ASN'!H35</f>
        <v>12411</v>
      </c>
      <c r="E30" s="6">
        <f>'GOLONGAN ASN'!Q35</f>
        <v>12411</v>
      </c>
      <c r="F30" s="6">
        <f>'PENDIDIKAN ASN'!V35</f>
        <v>12411</v>
      </c>
      <c r="G30" s="7">
        <f>'USIA ASN'!L35</f>
        <v>12411</v>
      </c>
      <c r="H30" s="6">
        <f>'GEN ASN'!H34</f>
        <v>12411</v>
      </c>
      <c r="I30" s="6" t="str">
        <f>'GA DIPAKE JABATAN ASN'!G35</f>
        <v/>
      </c>
      <c r="J30" s="6">
        <f>'MASA KERJA ASN'!H34</f>
        <v>12411</v>
      </c>
      <c r="K30" s="6">
        <f>'KEL JABATAN FIX'!X30</f>
        <v>12411</v>
      </c>
      <c r="L30" s="8" t="str">
        <f t="shared" si="3"/>
        <v>Y</v>
      </c>
      <c r="M30" s="16">
        <f t="shared" si="4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4">
        <v>6112.0</v>
      </c>
      <c r="B31" s="5" t="s">
        <v>46</v>
      </c>
      <c r="C31" s="6">
        <f>'JENIS ASN'!F35</f>
        <v>9872</v>
      </c>
      <c r="D31" s="6">
        <f>'JENKEL ASN'!H36</f>
        <v>9872</v>
      </c>
      <c r="E31" s="6">
        <f>'GOLONGAN ASN'!Q36</f>
        <v>9872</v>
      </c>
      <c r="F31" s="6">
        <f>'PENDIDIKAN ASN'!V36</f>
        <v>9872</v>
      </c>
      <c r="G31" s="7">
        <f>'USIA ASN'!L36</f>
        <v>9872</v>
      </c>
      <c r="H31" s="6">
        <f>'GEN ASN'!H35</f>
        <v>9872</v>
      </c>
      <c r="I31" s="6" t="str">
        <f>'GA DIPAKE JABATAN ASN'!G36</f>
        <v/>
      </c>
      <c r="J31" s="6">
        <f>'MASA KERJA ASN'!H35</f>
        <v>9872</v>
      </c>
      <c r="K31" s="6">
        <f>'KEL JABATAN FIX'!X31</f>
        <v>9872</v>
      </c>
      <c r="L31" s="8" t="str">
        <f t="shared" si="3"/>
        <v>Y</v>
      </c>
      <c r="M31" s="16">
        <f t="shared" si="4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4">
        <v>6113.0</v>
      </c>
      <c r="B32" s="5" t="s">
        <v>47</v>
      </c>
      <c r="C32" s="6">
        <f>'JENIS ASN'!F36</f>
        <v>18473</v>
      </c>
      <c r="D32" s="6">
        <f>'JENKEL ASN'!H37</f>
        <v>18473</v>
      </c>
      <c r="E32" s="6">
        <f>'GOLONGAN ASN'!Q37</f>
        <v>18473</v>
      </c>
      <c r="F32" s="6">
        <f>'PENDIDIKAN ASN'!V37</f>
        <v>18473</v>
      </c>
      <c r="G32" s="7">
        <f>'USIA ASN'!L37</f>
        <v>18473</v>
      </c>
      <c r="H32" s="6">
        <f>'GEN ASN'!H36</f>
        <v>18473</v>
      </c>
      <c r="I32" s="6" t="str">
        <f>'GA DIPAKE JABATAN ASN'!G37</f>
        <v/>
      </c>
      <c r="J32" s="6">
        <f>'MASA KERJA ASN'!H36</f>
        <v>18473</v>
      </c>
      <c r="K32" s="6">
        <f>'KEL JABATAN FIX'!X32</f>
        <v>18473</v>
      </c>
      <c r="L32" s="8" t="str">
        <f t="shared" si="3"/>
        <v>Y</v>
      </c>
      <c r="M32" s="16">
        <f t="shared" si="4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4">
        <v>6114.0</v>
      </c>
      <c r="B33" s="5" t="s">
        <v>48</v>
      </c>
      <c r="C33" s="6">
        <f>'JENIS ASN'!F37</f>
        <v>11351</v>
      </c>
      <c r="D33" s="6">
        <f>'JENKEL ASN'!H38</f>
        <v>11351</v>
      </c>
      <c r="E33" s="6">
        <f>'GOLONGAN ASN'!Q38</f>
        <v>11351</v>
      </c>
      <c r="F33" s="6">
        <f>'PENDIDIKAN ASN'!V38</f>
        <v>11351</v>
      </c>
      <c r="G33" s="7">
        <f>'USIA ASN'!L38</f>
        <v>11351</v>
      </c>
      <c r="H33" s="6">
        <f>'GEN ASN'!H37</f>
        <v>11351</v>
      </c>
      <c r="I33" s="6" t="str">
        <f>'GA DIPAKE JABATAN ASN'!G38</f>
        <v/>
      </c>
      <c r="J33" s="6">
        <f>'MASA KERJA ASN'!H37</f>
        <v>11351</v>
      </c>
      <c r="K33" s="6">
        <f>'KEL JABATAN FIX'!X33</f>
        <v>11351</v>
      </c>
      <c r="L33" s="8" t="str">
        <f t="shared" si="3"/>
        <v>Y</v>
      </c>
      <c r="M33" s="16">
        <f t="shared" si="4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4">
        <v>6115.0</v>
      </c>
      <c r="B34" s="5" t="s">
        <v>49</v>
      </c>
      <c r="C34" s="6">
        <f>'JENIS ASN'!F38</f>
        <v>11740</v>
      </c>
      <c r="D34" s="6">
        <f>'JENKEL ASN'!H39</f>
        <v>11740</v>
      </c>
      <c r="E34" s="6">
        <f>'GOLONGAN ASN'!Q39</f>
        <v>11740</v>
      </c>
      <c r="F34" s="6">
        <f>'PENDIDIKAN ASN'!V39</f>
        <v>11740</v>
      </c>
      <c r="G34" s="7">
        <f>'USIA ASN'!L39</f>
        <v>11740</v>
      </c>
      <c r="H34" s="6">
        <f>'GEN ASN'!H38</f>
        <v>11740</v>
      </c>
      <c r="I34" s="6" t="str">
        <f>'GA DIPAKE JABATAN ASN'!G39</f>
        <v/>
      </c>
      <c r="J34" s="6">
        <f>'MASA KERJA ASN'!H38</f>
        <v>11740</v>
      </c>
      <c r="K34" s="6">
        <f>'KEL JABATAN FIX'!X34</f>
        <v>11740</v>
      </c>
      <c r="L34" s="8" t="str">
        <f t="shared" si="3"/>
        <v>Y</v>
      </c>
      <c r="M34" s="16">
        <f t="shared" si="4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4">
        <v>6116.0</v>
      </c>
      <c r="B35" s="5" t="s">
        <v>50</v>
      </c>
      <c r="C35" s="6">
        <f>'JENIS ASN'!F39</f>
        <v>12088</v>
      </c>
      <c r="D35" s="6">
        <f>'JENKEL ASN'!H40</f>
        <v>12088</v>
      </c>
      <c r="E35" s="6">
        <f>'GOLONGAN ASN'!Q40</f>
        <v>12088</v>
      </c>
      <c r="F35" s="6">
        <f>'PENDIDIKAN ASN'!V40</f>
        <v>12088</v>
      </c>
      <c r="G35" s="7">
        <f>'USIA ASN'!L40</f>
        <v>12088</v>
      </c>
      <c r="H35" s="6">
        <f>'GEN ASN'!H39</f>
        <v>12088</v>
      </c>
      <c r="I35" s="6" t="str">
        <f>'GA DIPAKE JABATAN ASN'!G40</f>
        <v/>
      </c>
      <c r="J35" s="6">
        <f>'MASA KERJA ASN'!H39</f>
        <v>12088</v>
      </c>
      <c r="K35" s="6">
        <f>'KEL JABATAN FIX'!X35</f>
        <v>12088</v>
      </c>
      <c r="L35" s="8" t="str">
        <f t="shared" si="3"/>
        <v>Y</v>
      </c>
      <c r="M35" s="16">
        <f t="shared" si="4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7">
        <v>6117.0</v>
      </c>
      <c r="B36" s="18" t="s">
        <v>51</v>
      </c>
      <c r="C36" s="19">
        <f>'JENIS ASN'!F40</f>
        <v>8473</v>
      </c>
      <c r="D36" s="19">
        <f>'JENKEL ASN'!H41</f>
        <v>8473</v>
      </c>
      <c r="E36" s="19">
        <f>'GOLONGAN ASN'!Q41</f>
        <v>8473</v>
      </c>
      <c r="F36" s="19">
        <f>'PENDIDIKAN ASN'!V41</f>
        <v>8473</v>
      </c>
      <c r="G36" s="20">
        <f>'USIA ASN'!L41</f>
        <v>8473</v>
      </c>
      <c r="H36" s="19">
        <f>'GEN ASN'!H40</f>
        <v>8473</v>
      </c>
      <c r="I36" s="19" t="str">
        <f>'GA DIPAKE JABATAN ASN'!G41</f>
        <v/>
      </c>
      <c r="J36" s="19">
        <f>'MASA KERJA ASN'!H40</f>
        <v>8473</v>
      </c>
      <c r="K36" s="6">
        <f>'KEL JABATAN FIX'!X36</f>
        <v>8473</v>
      </c>
      <c r="L36" s="21" t="str">
        <f t="shared" si="3"/>
        <v>Y</v>
      </c>
      <c r="M36" s="22">
        <f t="shared" si="4"/>
        <v>0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>
      <c r="A37" s="4">
        <v>6118.0</v>
      </c>
      <c r="B37" s="5" t="s">
        <v>52</v>
      </c>
      <c r="C37" s="6">
        <f>'JENIS ASN'!F41</f>
        <v>4676</v>
      </c>
      <c r="D37" s="6">
        <f>'JENKEL ASN'!H42</f>
        <v>4676</v>
      </c>
      <c r="E37" s="6">
        <f>'GOLONGAN ASN'!Q42</f>
        <v>4676</v>
      </c>
      <c r="F37" s="6">
        <f>'PENDIDIKAN ASN'!V42</f>
        <v>4676</v>
      </c>
      <c r="G37" s="7">
        <f>'USIA ASN'!L42</f>
        <v>4676</v>
      </c>
      <c r="H37" s="6">
        <f>'GEN ASN'!H41</f>
        <v>4676</v>
      </c>
      <c r="I37" s="6" t="str">
        <f>'GA DIPAKE JABATAN ASN'!G42</f>
        <v/>
      </c>
      <c r="J37" s="6">
        <f>'MASA KERJA ASN'!H41</f>
        <v>4676</v>
      </c>
      <c r="K37" s="6">
        <f>'KEL JABATAN FIX'!X37</f>
        <v>4676</v>
      </c>
      <c r="L37" s="8" t="str">
        <f t="shared" si="3"/>
        <v>Y</v>
      </c>
      <c r="M37" s="16">
        <f t="shared" si="4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4">
        <v>6171.0</v>
      </c>
      <c r="B38" s="5" t="s">
        <v>53</v>
      </c>
      <c r="C38" s="6">
        <f>'JENIS ASN'!F42</f>
        <v>16026</v>
      </c>
      <c r="D38" s="6">
        <f>'JENKEL ASN'!H43</f>
        <v>16026</v>
      </c>
      <c r="E38" s="6">
        <f>'GOLONGAN ASN'!Q43</f>
        <v>16026</v>
      </c>
      <c r="F38" s="6">
        <f>'PENDIDIKAN ASN'!V43</f>
        <v>16026</v>
      </c>
      <c r="G38" s="7">
        <f>'USIA ASN'!L43</f>
        <v>16026</v>
      </c>
      <c r="H38" s="6">
        <f>'GEN ASN'!H42</f>
        <v>16026</v>
      </c>
      <c r="I38" s="6" t="str">
        <f>'GA DIPAKE JABATAN ASN'!G43</f>
        <v/>
      </c>
      <c r="J38" s="6">
        <f>'MASA KERJA ASN'!H42</f>
        <v>16026</v>
      </c>
      <c r="K38" s="6">
        <f>'KEL JABATAN FIX'!X38</f>
        <v>16026</v>
      </c>
      <c r="L38" s="8" t="str">
        <f t="shared" si="3"/>
        <v>Y</v>
      </c>
      <c r="M38" s="16">
        <f t="shared" si="4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4">
        <v>6172.0</v>
      </c>
      <c r="B39" s="5" t="s">
        <v>54</v>
      </c>
      <c r="C39" s="6">
        <f>'JENIS ASN'!F43</f>
        <v>7835</v>
      </c>
      <c r="D39" s="6">
        <f>'JENKEL ASN'!H44</f>
        <v>7835</v>
      </c>
      <c r="E39" s="6">
        <f>'GOLONGAN ASN'!Q44</f>
        <v>7835</v>
      </c>
      <c r="F39" s="15">
        <f>'PENDIDIKAN ASN'!V44</f>
        <v>7835</v>
      </c>
      <c r="G39" s="7">
        <f>'USIA ASN'!L44</f>
        <v>7835</v>
      </c>
      <c r="H39" s="6">
        <f>'GEN ASN'!H43</f>
        <v>7835</v>
      </c>
      <c r="I39" s="6" t="str">
        <f>'GA DIPAKE JABATAN ASN'!G44</f>
        <v/>
      </c>
      <c r="J39" s="6">
        <f>'MASA KERJA ASN'!H43</f>
        <v>7835</v>
      </c>
      <c r="K39" s="6">
        <f>'KEL JABATAN FIX'!X39</f>
        <v>7835</v>
      </c>
      <c r="L39" s="8" t="str">
        <f t="shared" si="3"/>
        <v>Y</v>
      </c>
      <c r="M39" s="16">
        <f t="shared" si="4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4">
        <v>6173.0</v>
      </c>
      <c r="B40" s="5" t="s">
        <v>55</v>
      </c>
      <c r="C40" s="6">
        <f>'JENIS ASN'!F44</f>
        <v>3642</v>
      </c>
      <c r="D40" s="6">
        <f>'JENKEL ASN'!H45</f>
        <v>3642</v>
      </c>
      <c r="E40" s="6">
        <f>'GOLONGAN ASN'!Q45</f>
        <v>3642</v>
      </c>
      <c r="F40" s="6">
        <f>'PENDIDIKAN ASN'!V45</f>
        <v>3642</v>
      </c>
      <c r="G40" s="7">
        <f>'USIA ASN'!L45</f>
        <v>3642</v>
      </c>
      <c r="H40" s="6">
        <f>'GEN ASN'!H44</f>
        <v>3642</v>
      </c>
      <c r="I40" s="6" t="str">
        <f>'GA DIPAKE JABATAN ASN'!G45</f>
        <v/>
      </c>
      <c r="J40" s="6">
        <f>'MASA KERJA ASN'!H44</f>
        <v>3642</v>
      </c>
      <c r="K40" s="6">
        <f>'KEL JABATAN FIX'!X40</f>
        <v>3642</v>
      </c>
      <c r="L40" s="8" t="str">
        <f t="shared" si="3"/>
        <v>Y</v>
      </c>
      <c r="M40" s="16">
        <f t="shared" si="4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4">
        <v>6174.0</v>
      </c>
      <c r="B41" s="5" t="s">
        <v>56</v>
      </c>
      <c r="C41" s="6">
        <f>'JENIS ASN'!F45</f>
        <v>5772</v>
      </c>
      <c r="D41" s="6">
        <f>'JENKEL ASN'!H46</f>
        <v>5772</v>
      </c>
      <c r="E41" s="6">
        <f>'GOLONGAN ASN'!Q46</f>
        <v>5772</v>
      </c>
      <c r="F41" s="14">
        <f>'PENDIDIKAN ASN'!V46</f>
        <v>5772</v>
      </c>
      <c r="G41" s="7">
        <f>'USIA ASN'!L46</f>
        <v>5772</v>
      </c>
      <c r="H41" s="6">
        <f>'GEN ASN'!H45</f>
        <v>5772</v>
      </c>
      <c r="I41" s="6" t="str">
        <f>'GA DIPAKE JABATAN ASN'!G46</f>
        <v/>
      </c>
      <c r="J41" s="6">
        <f>'MASA KERJA ASN'!H45</f>
        <v>5772</v>
      </c>
      <c r="K41" s="6">
        <f>'KEL JABATAN FIX'!X41</f>
        <v>5772</v>
      </c>
      <c r="L41" s="8" t="str">
        <f t="shared" si="3"/>
        <v>Y</v>
      </c>
      <c r="M41" s="16">
        <f t="shared" si="4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4">
        <v>6175.0</v>
      </c>
      <c r="B42" s="5" t="s">
        <v>57</v>
      </c>
      <c r="C42" s="6">
        <f>'JENIS ASN'!F46</f>
        <v>19247</v>
      </c>
      <c r="D42" s="6">
        <f>'JENKEL ASN'!H47</f>
        <v>19247</v>
      </c>
      <c r="E42" s="6">
        <f>'GOLONGAN ASN'!Q47</f>
        <v>19247</v>
      </c>
      <c r="F42" s="6">
        <f>'PENDIDIKAN ASN'!V47</f>
        <v>19247</v>
      </c>
      <c r="G42" s="7">
        <f>'USIA ASN'!L47</f>
        <v>19247</v>
      </c>
      <c r="H42" s="6">
        <f>'GEN ASN'!H46</f>
        <v>19247</v>
      </c>
      <c r="I42" s="6" t="str">
        <f>'GA DIPAKE JABATAN ASN'!G47</f>
        <v/>
      </c>
      <c r="J42" s="6">
        <f>'MASA KERJA ASN'!H46</f>
        <v>19247</v>
      </c>
      <c r="K42" s="6">
        <f>'KEL JABATAN FIX'!X42</f>
        <v>19247</v>
      </c>
      <c r="L42" s="8" t="str">
        <f t="shared" si="3"/>
        <v>Y</v>
      </c>
      <c r="M42" s="16">
        <f t="shared" si="4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4">
        <v>6176.0</v>
      </c>
      <c r="B43" s="5" t="s">
        <v>58</v>
      </c>
      <c r="C43" s="6">
        <f>'JENIS ASN'!F47</f>
        <v>7242</v>
      </c>
      <c r="D43" s="6">
        <f>'JENKEL ASN'!H48</f>
        <v>7242</v>
      </c>
      <c r="E43" s="6">
        <f>'GOLONGAN ASN'!Q48</f>
        <v>7242</v>
      </c>
      <c r="F43" s="6">
        <f>'PENDIDIKAN ASN'!V48</f>
        <v>7242</v>
      </c>
      <c r="G43" s="7">
        <f>'USIA ASN'!L48</f>
        <v>7242</v>
      </c>
      <c r="H43" s="6">
        <f>'GEN ASN'!H47</f>
        <v>7242</v>
      </c>
      <c r="I43" s="6" t="str">
        <f>'GA DIPAKE JABATAN ASN'!G48</f>
        <v/>
      </c>
      <c r="J43" s="6">
        <f>'MASA KERJA ASN'!H47</f>
        <v>7242</v>
      </c>
      <c r="K43" s="6">
        <f>'KEL JABATAN FIX'!X43</f>
        <v>7242</v>
      </c>
      <c r="L43" s="8" t="str">
        <f t="shared" si="3"/>
        <v>Y</v>
      </c>
      <c r="M43" s="16">
        <f t="shared" si="4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4">
        <v>6177.0</v>
      </c>
      <c r="B44" s="5" t="s">
        <v>59</v>
      </c>
      <c r="C44" s="6">
        <f>'JENIS ASN'!F48</f>
        <v>6311</v>
      </c>
      <c r="D44" s="6">
        <f>'JENKEL ASN'!H49</f>
        <v>6311</v>
      </c>
      <c r="E44" s="6">
        <f>'GOLONGAN ASN'!Q49</f>
        <v>6311</v>
      </c>
      <c r="F44" s="6">
        <f>'PENDIDIKAN ASN'!V49</f>
        <v>6311</v>
      </c>
      <c r="G44" s="7">
        <f>'USIA ASN'!L49</f>
        <v>6311</v>
      </c>
      <c r="H44" s="6">
        <f>'GEN ASN'!H48</f>
        <v>6311</v>
      </c>
      <c r="I44" s="6" t="str">
        <f>'GA DIPAKE JABATAN ASN'!G49</f>
        <v/>
      </c>
      <c r="J44" s="6">
        <f>'MASA KERJA ASN'!H48</f>
        <v>6311</v>
      </c>
      <c r="K44" s="6">
        <f>'KEL JABATAN FIX'!X44</f>
        <v>6311</v>
      </c>
      <c r="L44" s="8" t="str">
        <f t="shared" si="3"/>
        <v>Y</v>
      </c>
      <c r="M44" s="16">
        <f t="shared" si="4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4">
        <v>6178.0</v>
      </c>
      <c r="B45" s="5" t="s">
        <v>60</v>
      </c>
      <c r="C45" s="6">
        <f>'JENIS ASN'!F49</f>
        <v>6466</v>
      </c>
      <c r="D45" s="6">
        <f>'JENKEL ASN'!H50</f>
        <v>6466</v>
      </c>
      <c r="E45" s="6">
        <f>'GOLONGAN ASN'!Q50</f>
        <v>6466</v>
      </c>
      <c r="F45" s="6">
        <f>'PENDIDIKAN ASN'!V50</f>
        <v>6466</v>
      </c>
      <c r="G45" s="7">
        <f>'USIA ASN'!L50</f>
        <v>6466</v>
      </c>
      <c r="H45" s="6">
        <f>'GEN ASN'!H49</f>
        <v>6466</v>
      </c>
      <c r="I45" s="6" t="str">
        <f>'GA DIPAKE JABATAN ASN'!G50</f>
        <v/>
      </c>
      <c r="J45" s="6">
        <f>'MASA KERJA ASN'!H49</f>
        <v>6466</v>
      </c>
      <c r="K45" s="6">
        <f>'KEL JABATAN FIX'!X45</f>
        <v>6466</v>
      </c>
      <c r="L45" s="8" t="str">
        <f t="shared" si="3"/>
        <v>Y</v>
      </c>
      <c r="M45" s="16">
        <f t="shared" si="4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4">
        <v>6179.0</v>
      </c>
      <c r="B46" s="5" t="s">
        <v>61</v>
      </c>
      <c r="C46" s="6">
        <f>'JENIS ASN'!F50</f>
        <v>4861</v>
      </c>
      <c r="D46" s="6">
        <f>'JENKEL ASN'!H51</f>
        <v>4861</v>
      </c>
      <c r="E46" s="6">
        <f>'GOLONGAN ASN'!Q51</f>
        <v>4861</v>
      </c>
      <c r="F46" s="6">
        <f>'PENDIDIKAN ASN'!V51</f>
        <v>4861</v>
      </c>
      <c r="G46" s="7">
        <f>'USIA ASN'!L51</f>
        <v>4861</v>
      </c>
      <c r="H46" s="6">
        <f>'GEN ASN'!H50</f>
        <v>4861</v>
      </c>
      <c r="I46" s="6" t="str">
        <f>'GA DIPAKE JABATAN ASN'!G51</f>
        <v/>
      </c>
      <c r="J46" s="6">
        <f>'MASA KERJA ASN'!H50</f>
        <v>4861</v>
      </c>
      <c r="K46" s="6">
        <f>'KEL JABATAN FIX'!X46</f>
        <v>4861</v>
      </c>
      <c r="L46" s="8" t="str">
        <f t="shared" si="3"/>
        <v>Y</v>
      </c>
      <c r="M46" s="16">
        <f t="shared" si="4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4" t="s">
        <v>62</v>
      </c>
      <c r="B47" s="25"/>
      <c r="C47" s="13">
        <f t="shared" ref="C47:J47" si="5">sum(C19:C46)</f>
        <v>378744</v>
      </c>
      <c r="D47" s="13">
        <f t="shared" si="5"/>
        <v>378744</v>
      </c>
      <c r="E47" s="13">
        <f t="shared" si="5"/>
        <v>378744</v>
      </c>
      <c r="F47" s="13">
        <f t="shared" si="5"/>
        <v>378744</v>
      </c>
      <c r="G47" s="13">
        <f t="shared" si="5"/>
        <v>378744</v>
      </c>
      <c r="H47" s="13">
        <f t="shared" si="5"/>
        <v>378744</v>
      </c>
      <c r="I47" s="13">
        <f t="shared" si="5"/>
        <v>0</v>
      </c>
      <c r="J47" s="13">
        <f t="shared" si="5"/>
        <v>378744</v>
      </c>
      <c r="K47" s="6">
        <f>'KEL JABATAN FIX'!X47</f>
        <v>378744</v>
      </c>
      <c r="L47" s="8"/>
      <c r="M47" s="16">
        <f t="shared" si="4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4">
        <v>6200.0</v>
      </c>
      <c r="B48" s="5" t="s">
        <v>63</v>
      </c>
      <c r="C48" s="6">
        <f>'JENIS ASN'!F52</f>
        <v>21655</v>
      </c>
      <c r="D48" s="6">
        <f>'JENKEL ASN'!H53</f>
        <v>21655</v>
      </c>
      <c r="E48" s="6">
        <f>'GOLONGAN ASN'!Q53</f>
        <v>21655</v>
      </c>
      <c r="F48" s="6">
        <f>'PENDIDIKAN ASN'!V53</f>
        <v>21655</v>
      </c>
      <c r="G48" s="7">
        <f>'USIA ASN'!L53</f>
        <v>21655</v>
      </c>
      <c r="H48" s="6">
        <f>'GEN ASN'!H52</f>
        <v>21655</v>
      </c>
      <c r="I48" s="6" t="str">
        <f>'GA DIPAKE JABATAN ASN'!G53</f>
        <v/>
      </c>
      <c r="J48" s="6">
        <f>'MASA KERJA ASN'!H52</f>
        <v>21655</v>
      </c>
      <c r="K48" s="6">
        <f>'KEL JABATAN FIX'!X48</f>
        <v>21655</v>
      </c>
      <c r="L48" s="8" t="str">
        <f t="shared" ref="L48:L56" si="6">IF(AND(C48=D48 , C48=E48 , C48=F48 , C48=G48 , C48=H48 , C48=C48 , J48=K48), "Y", "X")</f>
        <v>Y</v>
      </c>
      <c r="M48" s="16">
        <f t="shared" si="4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4">
        <v>6201.0</v>
      </c>
      <c r="B49" s="5" t="s">
        <v>64</v>
      </c>
      <c r="C49" s="6">
        <f>'JENIS ASN'!F53</f>
        <v>10171</v>
      </c>
      <c r="D49" s="6">
        <f>'JENKEL ASN'!H54</f>
        <v>10171</v>
      </c>
      <c r="E49" s="6">
        <f>'GOLONGAN ASN'!Q54</f>
        <v>10171</v>
      </c>
      <c r="F49" s="6">
        <f>'PENDIDIKAN ASN'!V54</f>
        <v>10171</v>
      </c>
      <c r="G49" s="7">
        <f>'USIA ASN'!L54</f>
        <v>10171</v>
      </c>
      <c r="H49" s="6">
        <f>'GEN ASN'!H53</f>
        <v>10171</v>
      </c>
      <c r="I49" s="6" t="str">
        <f>'GA DIPAKE JABATAN ASN'!G54</f>
        <v/>
      </c>
      <c r="J49" s="6">
        <f>'MASA KERJA ASN'!H53</f>
        <v>10171</v>
      </c>
      <c r="K49" s="6">
        <f>'KEL JABATAN FIX'!X49</f>
        <v>10171</v>
      </c>
      <c r="L49" s="8" t="str">
        <f t="shared" si="6"/>
        <v>Y</v>
      </c>
      <c r="M49" s="16">
        <f t="shared" si="4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4">
        <v>6202.0</v>
      </c>
      <c r="B50" s="5" t="s">
        <v>65</v>
      </c>
      <c r="C50" s="6">
        <f>'JENIS ASN'!F54</f>
        <v>12635</v>
      </c>
      <c r="D50" s="6">
        <f>'JENKEL ASN'!H55</f>
        <v>12635</v>
      </c>
      <c r="E50" s="6">
        <f>'GOLONGAN ASN'!Q55</f>
        <v>12635</v>
      </c>
      <c r="F50" s="6">
        <f>'PENDIDIKAN ASN'!V55</f>
        <v>12635</v>
      </c>
      <c r="G50" s="7">
        <f>'USIA ASN'!L55</f>
        <v>12635</v>
      </c>
      <c r="H50" s="6">
        <f>'GEN ASN'!H54</f>
        <v>12635</v>
      </c>
      <c r="I50" s="6" t="str">
        <f>'GA DIPAKE JABATAN ASN'!G55</f>
        <v/>
      </c>
      <c r="J50" s="6">
        <f>'MASA KERJA ASN'!H54</f>
        <v>12635</v>
      </c>
      <c r="K50" s="6">
        <f>'KEL JABATAN FIX'!X50</f>
        <v>12635</v>
      </c>
      <c r="L50" s="8" t="str">
        <f t="shared" si="6"/>
        <v>Y</v>
      </c>
      <c r="M50" s="16">
        <f t="shared" si="4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4">
        <v>6203.0</v>
      </c>
      <c r="B51" s="5" t="s">
        <v>66</v>
      </c>
      <c r="C51" s="6">
        <f>'JENIS ASN'!F55</f>
        <v>12384</v>
      </c>
      <c r="D51" s="6">
        <f>'JENKEL ASN'!H56</f>
        <v>12384</v>
      </c>
      <c r="E51" s="6">
        <f>'GOLONGAN ASN'!Q56</f>
        <v>12384</v>
      </c>
      <c r="F51" s="6">
        <f>'PENDIDIKAN ASN'!V56</f>
        <v>12384</v>
      </c>
      <c r="G51" s="7">
        <f>'USIA ASN'!L56</f>
        <v>12384</v>
      </c>
      <c r="H51" s="6">
        <f>'GEN ASN'!H55</f>
        <v>12384</v>
      </c>
      <c r="I51" s="6" t="str">
        <f>'GA DIPAKE JABATAN ASN'!G56</f>
        <v/>
      </c>
      <c r="J51" s="6">
        <f>'MASA KERJA ASN'!H55</f>
        <v>12384</v>
      </c>
      <c r="K51" s="6">
        <f>'KEL JABATAN FIX'!X51</f>
        <v>12384</v>
      </c>
      <c r="L51" s="8" t="str">
        <f t="shared" si="6"/>
        <v>Y</v>
      </c>
      <c r="M51" s="16">
        <f t="shared" si="4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4">
        <v>6204.0</v>
      </c>
      <c r="B52" s="5" t="s">
        <v>67</v>
      </c>
      <c r="C52" s="6">
        <f>'JENIS ASN'!F56</f>
        <v>15860</v>
      </c>
      <c r="D52" s="6">
        <f>'JENKEL ASN'!H57</f>
        <v>15860</v>
      </c>
      <c r="E52" s="6">
        <f>'GOLONGAN ASN'!Q57</f>
        <v>15860</v>
      </c>
      <c r="F52" s="6">
        <f>'PENDIDIKAN ASN'!V57</f>
        <v>15860</v>
      </c>
      <c r="G52" s="7">
        <f>'USIA ASN'!L57</f>
        <v>15860</v>
      </c>
      <c r="H52" s="6">
        <f>'GEN ASN'!H56</f>
        <v>15860</v>
      </c>
      <c r="I52" s="6" t="str">
        <f>'GA DIPAKE JABATAN ASN'!G57</f>
        <v/>
      </c>
      <c r="J52" s="6">
        <f>'MASA KERJA ASN'!H56</f>
        <v>15860</v>
      </c>
      <c r="K52" s="6">
        <f>'KEL JABATAN FIX'!X52</f>
        <v>15860</v>
      </c>
      <c r="L52" s="8" t="str">
        <f t="shared" si="6"/>
        <v>Y</v>
      </c>
      <c r="M52" s="16">
        <f t="shared" si="4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4">
        <v>6271.0</v>
      </c>
      <c r="B53" s="5" t="s">
        <v>68</v>
      </c>
      <c r="C53" s="6">
        <f>'JENIS ASN'!F57</f>
        <v>13730</v>
      </c>
      <c r="D53" s="6">
        <f>'JENKEL ASN'!H58</f>
        <v>13730</v>
      </c>
      <c r="E53" s="6">
        <f>'GOLONGAN ASN'!Q58</f>
        <v>13730</v>
      </c>
      <c r="F53" s="6">
        <f>'PENDIDIKAN ASN'!V58</f>
        <v>13730</v>
      </c>
      <c r="G53" s="7">
        <f>'USIA ASN'!L58</f>
        <v>13730</v>
      </c>
      <c r="H53" s="6">
        <f>'GEN ASN'!H57</f>
        <v>13730</v>
      </c>
      <c r="I53" s="6" t="str">
        <f>'GA DIPAKE JABATAN ASN'!G58</f>
        <v/>
      </c>
      <c r="J53" s="6">
        <f>'MASA KERJA ASN'!H57</f>
        <v>13730</v>
      </c>
      <c r="K53" s="6">
        <f>'KEL JABATAN FIX'!X53</f>
        <v>13730</v>
      </c>
      <c r="L53" s="8" t="str">
        <f t="shared" si="6"/>
        <v>Y</v>
      </c>
      <c r="M53" s="16">
        <f t="shared" si="4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4">
        <v>6272.0</v>
      </c>
      <c r="B54" s="5" t="s">
        <v>69</v>
      </c>
      <c r="C54" s="6">
        <f>'JENIS ASN'!F58</f>
        <v>5862</v>
      </c>
      <c r="D54" s="6">
        <f>'JENKEL ASN'!H59</f>
        <v>5862</v>
      </c>
      <c r="E54" s="6">
        <f>'GOLONGAN ASN'!Q59</f>
        <v>5862</v>
      </c>
      <c r="F54" s="6">
        <f>'PENDIDIKAN ASN'!V59</f>
        <v>5862</v>
      </c>
      <c r="G54" s="7">
        <f>'USIA ASN'!L59</f>
        <v>5862</v>
      </c>
      <c r="H54" s="6">
        <f>'GEN ASN'!H58</f>
        <v>5862</v>
      </c>
      <c r="I54" s="6" t="str">
        <f>'GA DIPAKE JABATAN ASN'!G59</f>
        <v/>
      </c>
      <c r="J54" s="6">
        <f>'MASA KERJA ASN'!H58</f>
        <v>5862</v>
      </c>
      <c r="K54" s="6">
        <f>'KEL JABATAN FIX'!X54</f>
        <v>5862</v>
      </c>
      <c r="L54" s="8" t="str">
        <f t="shared" si="6"/>
        <v>Y</v>
      </c>
      <c r="M54" s="16">
        <f t="shared" si="4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4">
        <v>6273.0</v>
      </c>
      <c r="B55" s="5" t="s">
        <v>70</v>
      </c>
      <c r="C55" s="6">
        <f>'JENIS ASN'!F59</f>
        <v>5847</v>
      </c>
      <c r="D55" s="6">
        <f>'JENKEL ASN'!H60</f>
        <v>5847</v>
      </c>
      <c r="E55" s="6">
        <f>'GOLONGAN ASN'!Q60</f>
        <v>5847</v>
      </c>
      <c r="F55" s="6">
        <f>'PENDIDIKAN ASN'!V60</f>
        <v>5847</v>
      </c>
      <c r="G55" s="7">
        <f>'USIA ASN'!L60</f>
        <v>5847</v>
      </c>
      <c r="H55" s="6">
        <f>'GEN ASN'!H59</f>
        <v>5847</v>
      </c>
      <c r="I55" s="6" t="str">
        <f>'GA DIPAKE JABATAN ASN'!G60</f>
        <v/>
      </c>
      <c r="J55" s="6">
        <f>'MASA KERJA ASN'!H59</f>
        <v>5847</v>
      </c>
      <c r="K55" s="6">
        <f>'KEL JABATAN FIX'!X55</f>
        <v>5847</v>
      </c>
      <c r="L55" s="8" t="str">
        <f t="shared" si="6"/>
        <v>Y</v>
      </c>
      <c r="M55" s="16">
        <f t="shared" si="4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4">
        <v>6274.0</v>
      </c>
      <c r="B56" s="5" t="s">
        <v>71</v>
      </c>
      <c r="C56" s="6">
        <f>'JENIS ASN'!F60</f>
        <v>15406</v>
      </c>
      <c r="D56" s="6">
        <f>'JENKEL ASN'!H61</f>
        <v>15406</v>
      </c>
      <c r="E56" s="6">
        <f>'GOLONGAN ASN'!Q61</f>
        <v>15406</v>
      </c>
      <c r="F56" s="6">
        <f>'PENDIDIKAN ASN'!V61</f>
        <v>15406</v>
      </c>
      <c r="G56" s="7">
        <f>'USIA ASN'!L61</f>
        <v>15406</v>
      </c>
      <c r="H56" s="6">
        <f>'GEN ASN'!H60</f>
        <v>15406</v>
      </c>
      <c r="I56" s="6" t="str">
        <f>'GA DIPAKE JABATAN ASN'!G61</f>
        <v/>
      </c>
      <c r="J56" s="6">
        <f>'MASA KERJA ASN'!H60</f>
        <v>15406</v>
      </c>
      <c r="K56" s="6">
        <f>'KEL JABATAN FIX'!X56</f>
        <v>15406</v>
      </c>
      <c r="L56" s="8" t="str">
        <f t="shared" si="6"/>
        <v>Y</v>
      </c>
      <c r="M56" s="16">
        <f t="shared" si="4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4" t="s">
        <v>72</v>
      </c>
      <c r="B57" s="25"/>
      <c r="C57" s="13">
        <f>'JENIS ASN'!F61</f>
        <v>113550</v>
      </c>
      <c r="D57" s="13">
        <f>'JENKEL ASN'!H62</f>
        <v>113550</v>
      </c>
      <c r="E57" s="13">
        <f>'GOLONGAN ASN'!Q62</f>
        <v>113550</v>
      </c>
      <c r="F57" s="13">
        <f>'PENDIDIKAN ASN'!V62</f>
        <v>113550</v>
      </c>
      <c r="G57" s="26">
        <f>'USIA ASN'!L62</f>
        <v>113550</v>
      </c>
      <c r="H57" s="13">
        <f>'GEN ASN'!H61</f>
        <v>113550</v>
      </c>
      <c r="I57" s="13">
        <f>'GA DIPAKE JABATAN ASN'!G62</f>
        <v>0</v>
      </c>
      <c r="J57" s="13">
        <f>'MASA KERJA ASN'!H61</f>
        <v>113550</v>
      </c>
      <c r="K57" s="13">
        <v>110921.0</v>
      </c>
      <c r="L57" s="8"/>
      <c r="M57" s="16">
        <f t="shared" si="4"/>
        <v>2629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7" t="s">
        <v>73</v>
      </c>
      <c r="B58" s="25"/>
      <c r="C58" s="13">
        <f>'JENIS ASN'!F62</f>
        <v>492294</v>
      </c>
      <c r="D58" s="13">
        <f>'JENKEL ASN'!H63</f>
        <v>492294</v>
      </c>
      <c r="E58" s="13">
        <f>'GOLONGAN ASN'!Q63</f>
        <v>492294</v>
      </c>
      <c r="F58" s="13">
        <f>'PENDIDIKAN ASN'!V63</f>
        <v>492294</v>
      </c>
      <c r="G58" s="26">
        <f>'USIA ASN'!L63</f>
        <v>492294</v>
      </c>
      <c r="H58" s="13">
        <f>'GEN ASN'!H62</f>
        <v>492294</v>
      </c>
      <c r="I58" s="13">
        <f>'GA DIPAKE JABATAN ASN'!G63</f>
        <v>0</v>
      </c>
      <c r="J58" s="13">
        <f>'MASA KERJA ASN'!H62</f>
        <v>492294</v>
      </c>
      <c r="K58" s="13">
        <f>SUM(K47+K57)</f>
        <v>489665</v>
      </c>
      <c r="L58" s="8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7" t="s">
        <v>74</v>
      </c>
      <c r="B59" s="25"/>
      <c r="C59" s="13">
        <f>'JENIS ASN'!F63</f>
        <v>537171</v>
      </c>
      <c r="D59" s="13">
        <f>'JENKEL ASN'!H64</f>
        <v>536932</v>
      </c>
      <c r="E59" s="13">
        <f>'GOLONGAN ASN'!Q64</f>
        <v>537171</v>
      </c>
      <c r="F59" s="13">
        <f>'PENDIDIKAN ASN'!V64</f>
        <v>537171</v>
      </c>
      <c r="G59" s="26">
        <f>'USIA ASN'!L64</f>
        <v>537171</v>
      </c>
      <c r="H59" s="13">
        <f>'GEN ASN'!H63</f>
        <v>537171</v>
      </c>
      <c r="I59" s="13">
        <f>'GA DIPAKE JABATAN ASN'!G64</f>
        <v>0</v>
      </c>
      <c r="J59" s="13">
        <f>'MASA KERJA ASN'!H63</f>
        <v>534803</v>
      </c>
      <c r="K59" s="13"/>
      <c r="L59" s="8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</sheetData>
  <mergeCells count="16">
    <mergeCell ref="H1:H2"/>
    <mergeCell ref="I1:I2"/>
    <mergeCell ref="J1:J2"/>
    <mergeCell ref="K1:K2"/>
    <mergeCell ref="L1:L2"/>
    <mergeCell ref="A47:B47"/>
    <mergeCell ref="A57:B57"/>
    <mergeCell ref="A58:B58"/>
    <mergeCell ref="A59:B59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3.86"/>
    <col customWidth="1" min="2" max="2" width="10.71"/>
    <col customWidth="1" min="3" max="3" width="59.71"/>
    <col customWidth="1" min="4" max="6" width="17.57"/>
    <col customWidth="1" min="7" max="26" width="8.71"/>
  </cols>
  <sheetData>
    <row r="1">
      <c r="A1" s="28" t="s">
        <v>75</v>
      </c>
      <c r="B1" s="29"/>
    </row>
    <row r="2">
      <c r="A2" s="30" t="s">
        <v>76</v>
      </c>
      <c r="B2" s="29"/>
    </row>
    <row r="3">
      <c r="A3" s="31" t="s">
        <v>77</v>
      </c>
      <c r="B3" s="29"/>
    </row>
    <row r="4">
      <c r="B4" s="29"/>
    </row>
    <row r="5" ht="47.25" customHeight="1">
      <c r="A5" s="32" t="s">
        <v>78</v>
      </c>
      <c r="B5" s="32" t="s">
        <v>0</v>
      </c>
      <c r="C5" s="32" t="s">
        <v>1</v>
      </c>
      <c r="D5" s="32" t="s">
        <v>79</v>
      </c>
      <c r="E5" s="32" t="s">
        <v>80</v>
      </c>
      <c r="F5" s="32" t="s">
        <v>81</v>
      </c>
      <c r="G5" s="33" t="s">
        <v>82</v>
      </c>
      <c r="H5" s="33" t="s">
        <v>83</v>
      </c>
    </row>
    <row r="6" ht="20.25" hidden="1" customHeight="1">
      <c r="A6" s="34" t="s">
        <v>84</v>
      </c>
      <c r="B6" s="4">
        <v>3003.0</v>
      </c>
      <c r="C6" s="5" t="s">
        <v>13</v>
      </c>
      <c r="D6" s="35">
        <v>1663.0</v>
      </c>
      <c r="E6" s="35">
        <v>1143.0</v>
      </c>
      <c r="F6" s="35">
        <f t="shared" ref="F6:F21" si="1">sum(D6:E6)</f>
        <v>2806</v>
      </c>
      <c r="G6" s="36">
        <f t="shared" ref="G6:G63" si="2">D6/F6</f>
        <v>0.5926585887</v>
      </c>
      <c r="H6" s="36">
        <f t="shared" ref="H6:H63" si="3">E6/F6</f>
        <v>0.4073414113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20.25" hidden="1" customHeight="1">
      <c r="A7" s="38"/>
      <c r="B7" s="4">
        <v>3005.0</v>
      </c>
      <c r="C7" s="5" t="s">
        <v>19</v>
      </c>
      <c r="D7" s="35">
        <v>3013.0</v>
      </c>
      <c r="E7" s="35">
        <v>0.0</v>
      </c>
      <c r="F7" s="35">
        <f t="shared" si="1"/>
        <v>3013</v>
      </c>
      <c r="G7" s="36">
        <f t="shared" si="2"/>
        <v>1</v>
      </c>
      <c r="H7" s="36">
        <f t="shared" si="3"/>
        <v>0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20.25" hidden="1" customHeight="1">
      <c r="A8" s="38"/>
      <c r="B8" s="4">
        <v>3006.0</v>
      </c>
      <c r="C8" s="5" t="s">
        <v>20</v>
      </c>
      <c r="D8" s="35">
        <v>1622.0</v>
      </c>
      <c r="E8" s="35">
        <v>0.0</v>
      </c>
      <c r="F8" s="35">
        <f t="shared" si="1"/>
        <v>1622</v>
      </c>
      <c r="G8" s="36">
        <f t="shared" si="2"/>
        <v>1</v>
      </c>
      <c r="H8" s="36">
        <f t="shared" si="3"/>
        <v>0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20.25" hidden="1" customHeight="1">
      <c r="A9" s="38"/>
      <c r="B9" s="4">
        <v>3012.0</v>
      </c>
      <c r="C9" s="5" t="s">
        <v>21</v>
      </c>
      <c r="D9" s="35">
        <v>25367.0</v>
      </c>
      <c r="E9" s="35">
        <v>739.0</v>
      </c>
      <c r="F9" s="35">
        <f t="shared" si="1"/>
        <v>26106</v>
      </c>
      <c r="G9" s="36">
        <f t="shared" si="2"/>
        <v>0.9716923313</v>
      </c>
      <c r="H9" s="36">
        <f t="shared" si="3"/>
        <v>0.02830766874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20.25" hidden="1" customHeight="1">
      <c r="A10" s="38"/>
      <c r="B10" s="4">
        <v>3023.0</v>
      </c>
      <c r="C10" s="5" t="s">
        <v>85</v>
      </c>
      <c r="D10" s="35">
        <v>32.0</v>
      </c>
      <c r="E10" s="35">
        <v>0.0</v>
      </c>
      <c r="F10" s="35">
        <f t="shared" si="1"/>
        <v>32</v>
      </c>
      <c r="G10" s="36">
        <f t="shared" si="2"/>
        <v>1</v>
      </c>
      <c r="H10" s="36">
        <f t="shared" si="3"/>
        <v>0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20.25" hidden="1" customHeight="1">
      <c r="A11" s="38"/>
      <c r="B11" s="4">
        <v>3024.0</v>
      </c>
      <c r="C11" s="5" t="s">
        <v>22</v>
      </c>
      <c r="D11" s="35">
        <v>3657.0</v>
      </c>
      <c r="E11" s="35">
        <v>0.0</v>
      </c>
      <c r="F11" s="35">
        <f t="shared" si="1"/>
        <v>3657</v>
      </c>
      <c r="G11" s="36">
        <f t="shared" si="2"/>
        <v>1</v>
      </c>
      <c r="H11" s="36">
        <f t="shared" si="3"/>
        <v>0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20.25" hidden="1" customHeight="1">
      <c r="A12" s="38"/>
      <c r="B12" s="4">
        <v>3038.0</v>
      </c>
      <c r="C12" s="5" t="s">
        <v>23</v>
      </c>
      <c r="D12" s="35">
        <v>200.0</v>
      </c>
      <c r="E12" s="35">
        <v>0.0</v>
      </c>
      <c r="F12" s="35">
        <f t="shared" si="1"/>
        <v>200</v>
      </c>
      <c r="G12" s="36">
        <f t="shared" si="2"/>
        <v>1</v>
      </c>
      <c r="H12" s="36">
        <f t="shared" si="3"/>
        <v>0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20.25" hidden="1" customHeight="1">
      <c r="A13" s="38"/>
      <c r="B13" s="4">
        <v>4002.0</v>
      </c>
      <c r="C13" s="5" t="s">
        <v>24</v>
      </c>
      <c r="D13" s="35">
        <v>63.0</v>
      </c>
      <c r="E13" s="35">
        <v>0.0</v>
      </c>
      <c r="F13" s="35">
        <f t="shared" si="1"/>
        <v>63</v>
      </c>
      <c r="G13" s="36">
        <f t="shared" si="2"/>
        <v>1</v>
      </c>
      <c r="H13" s="36">
        <f t="shared" si="3"/>
        <v>0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20.25" hidden="1" customHeight="1">
      <c r="A14" s="38"/>
      <c r="B14" s="4">
        <v>4007.0</v>
      </c>
      <c r="C14" s="5" t="s">
        <v>25</v>
      </c>
      <c r="D14" s="35">
        <v>2364.0</v>
      </c>
      <c r="E14" s="35">
        <v>4.0</v>
      </c>
      <c r="F14" s="35">
        <f t="shared" si="1"/>
        <v>2368</v>
      </c>
      <c r="G14" s="36">
        <f t="shared" si="2"/>
        <v>0.9983108108</v>
      </c>
      <c r="H14" s="36">
        <f t="shared" si="3"/>
        <v>0.001689189189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20.25" hidden="1" customHeight="1">
      <c r="A15" s="38"/>
      <c r="B15" s="4">
        <v>4008.0</v>
      </c>
      <c r="C15" s="5" t="s">
        <v>26</v>
      </c>
      <c r="D15" s="35">
        <v>239.0</v>
      </c>
      <c r="E15" s="35">
        <v>0.0</v>
      </c>
      <c r="F15" s="35">
        <f t="shared" si="1"/>
        <v>239</v>
      </c>
      <c r="G15" s="36">
        <f t="shared" si="2"/>
        <v>1</v>
      </c>
      <c r="H15" s="36">
        <f t="shared" si="3"/>
        <v>0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20.25" hidden="1" customHeight="1">
      <c r="A16" s="38"/>
      <c r="B16" s="4">
        <v>4016.0</v>
      </c>
      <c r="C16" s="5" t="s">
        <v>27</v>
      </c>
      <c r="D16" s="35">
        <v>1279.0</v>
      </c>
      <c r="E16" s="35">
        <v>7.0</v>
      </c>
      <c r="F16" s="35">
        <f t="shared" si="1"/>
        <v>1286</v>
      </c>
      <c r="G16" s="36">
        <f t="shared" si="2"/>
        <v>0.9945567652</v>
      </c>
      <c r="H16" s="36">
        <f t="shared" si="3"/>
        <v>0.005443234837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20.25" hidden="1" customHeight="1">
      <c r="A17" s="38"/>
      <c r="B17" s="4">
        <v>4020.0</v>
      </c>
      <c r="C17" s="5" t="s">
        <v>28</v>
      </c>
      <c r="D17" s="35">
        <v>695.0</v>
      </c>
      <c r="E17" s="35">
        <v>1051.0</v>
      </c>
      <c r="F17" s="35">
        <f t="shared" si="1"/>
        <v>1746</v>
      </c>
      <c r="G17" s="36">
        <f t="shared" si="2"/>
        <v>0.3980526919</v>
      </c>
      <c r="H17" s="36">
        <f t="shared" si="3"/>
        <v>0.6019473081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hidden="1" customHeight="1">
      <c r="A18" s="38"/>
      <c r="B18" s="4">
        <v>4023.0</v>
      </c>
      <c r="C18" s="5" t="s">
        <v>29</v>
      </c>
      <c r="D18" s="35">
        <v>213.0</v>
      </c>
      <c r="E18" s="35">
        <v>0.0</v>
      </c>
      <c r="F18" s="35">
        <f t="shared" si="1"/>
        <v>213</v>
      </c>
      <c r="G18" s="36">
        <f t="shared" si="2"/>
        <v>1</v>
      </c>
      <c r="H18" s="36">
        <f t="shared" si="3"/>
        <v>0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hidden="1" customHeight="1">
      <c r="A19" s="38"/>
      <c r="B19" s="4">
        <v>4024.0</v>
      </c>
      <c r="C19" s="5" t="s">
        <v>30</v>
      </c>
      <c r="D19" s="35">
        <v>206.0</v>
      </c>
      <c r="E19" s="35">
        <v>0.0</v>
      </c>
      <c r="F19" s="35">
        <f t="shared" si="1"/>
        <v>206</v>
      </c>
      <c r="G19" s="36">
        <f t="shared" si="2"/>
        <v>1</v>
      </c>
      <c r="H19" s="36">
        <f t="shared" si="3"/>
        <v>0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hidden="1" customHeight="1">
      <c r="A20" s="38"/>
      <c r="B20" s="4">
        <v>4033.0</v>
      </c>
      <c r="C20" s="5" t="s">
        <v>31</v>
      </c>
      <c r="D20" s="35">
        <v>925.0</v>
      </c>
      <c r="E20" s="35">
        <v>0.0</v>
      </c>
      <c r="F20" s="35">
        <f t="shared" si="1"/>
        <v>925</v>
      </c>
      <c r="G20" s="36">
        <f t="shared" si="2"/>
        <v>1</v>
      </c>
      <c r="H20" s="36">
        <f t="shared" si="3"/>
        <v>0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20.25" hidden="1" customHeight="1">
      <c r="A21" s="38"/>
      <c r="B21" s="4">
        <v>4071.0</v>
      </c>
      <c r="C21" s="5" t="s">
        <v>32</v>
      </c>
      <c r="D21" s="35">
        <v>395.0</v>
      </c>
      <c r="E21" s="35">
        <v>0.0</v>
      </c>
      <c r="F21" s="35">
        <f t="shared" si="1"/>
        <v>395</v>
      </c>
      <c r="G21" s="36">
        <f t="shared" si="2"/>
        <v>1</v>
      </c>
      <c r="H21" s="36">
        <f t="shared" si="3"/>
        <v>0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30.75" hidden="1" customHeight="1">
      <c r="A22" s="12" t="s">
        <v>86</v>
      </c>
      <c r="B22" s="12"/>
      <c r="C22" s="12"/>
      <c r="D22" s="39">
        <f t="shared" ref="D22:F22" si="4">SUM(D6:D21)</f>
        <v>41933</v>
      </c>
      <c r="E22" s="39">
        <f t="shared" si="4"/>
        <v>2944</v>
      </c>
      <c r="F22" s="39">
        <f t="shared" si="4"/>
        <v>44877</v>
      </c>
      <c r="G22" s="40">
        <f t="shared" si="2"/>
        <v>0.9343984669</v>
      </c>
      <c r="H22" s="40">
        <f t="shared" si="3"/>
        <v>0.06560153308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20.25" customHeight="1">
      <c r="A23" s="34" t="s">
        <v>87</v>
      </c>
      <c r="B23" s="4">
        <v>6100.0</v>
      </c>
      <c r="C23" s="41" t="s">
        <v>33</v>
      </c>
      <c r="D23" s="35">
        <v>26774.0</v>
      </c>
      <c r="E23" s="35">
        <v>25698.0</v>
      </c>
      <c r="F23" s="35">
        <f t="shared" ref="F23:F60" si="5">sum(D23:E23)</f>
        <v>52472</v>
      </c>
      <c r="G23" s="42">
        <f t="shared" si="2"/>
        <v>0.5102530874</v>
      </c>
      <c r="H23" s="42">
        <f t="shared" si="3"/>
        <v>0.4897469126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20.25" customHeight="1">
      <c r="A24" s="38"/>
      <c r="B24" s="4">
        <v>6101.0</v>
      </c>
      <c r="C24" s="5" t="s">
        <v>34</v>
      </c>
      <c r="D24" s="35">
        <v>11890.0</v>
      </c>
      <c r="E24" s="35">
        <v>13972.0</v>
      </c>
      <c r="F24" s="35">
        <f t="shared" si="5"/>
        <v>25862</v>
      </c>
      <c r="G24" s="42">
        <f t="shared" si="2"/>
        <v>0.4597478927</v>
      </c>
      <c r="H24" s="42">
        <f t="shared" si="3"/>
        <v>0.5402521073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20.25" customHeight="1">
      <c r="A25" s="38"/>
      <c r="B25" s="4">
        <v>6102.0</v>
      </c>
      <c r="C25" s="5" t="s">
        <v>35</v>
      </c>
      <c r="D25" s="35">
        <v>7937.0</v>
      </c>
      <c r="E25" s="35">
        <v>5134.0</v>
      </c>
      <c r="F25" s="35">
        <f t="shared" si="5"/>
        <v>13071</v>
      </c>
      <c r="G25" s="42">
        <f t="shared" si="2"/>
        <v>0.6072220947</v>
      </c>
      <c r="H25" s="42">
        <f t="shared" si="3"/>
        <v>0.3927779053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20.25" customHeight="1">
      <c r="A26" s="38"/>
      <c r="B26" s="4">
        <v>6103.0</v>
      </c>
      <c r="C26" s="5" t="s">
        <v>36</v>
      </c>
      <c r="D26" s="35">
        <v>7312.0</v>
      </c>
      <c r="E26" s="35">
        <v>8140.0</v>
      </c>
      <c r="F26" s="35">
        <f t="shared" si="5"/>
        <v>15452</v>
      </c>
      <c r="G26" s="42">
        <f t="shared" si="2"/>
        <v>0.4732073518</v>
      </c>
      <c r="H26" s="42">
        <f t="shared" si="3"/>
        <v>0.5267926482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20.25" customHeight="1">
      <c r="A27" s="38"/>
      <c r="B27" s="4">
        <v>6104.0</v>
      </c>
      <c r="C27" s="5" t="s">
        <v>37</v>
      </c>
      <c r="D27" s="35">
        <v>9045.0</v>
      </c>
      <c r="E27" s="35">
        <v>13414.0</v>
      </c>
      <c r="F27" s="35">
        <f t="shared" si="5"/>
        <v>22459</v>
      </c>
      <c r="G27" s="42">
        <f t="shared" si="2"/>
        <v>0.4027338706</v>
      </c>
      <c r="H27" s="42">
        <f t="shared" si="3"/>
        <v>0.5972661294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20.25" customHeight="1">
      <c r="A28" s="38"/>
      <c r="B28" s="4">
        <v>6105.0</v>
      </c>
      <c r="C28" s="5" t="s">
        <v>39</v>
      </c>
      <c r="D28" s="35">
        <v>7679.0</v>
      </c>
      <c r="E28" s="35">
        <v>5741.0</v>
      </c>
      <c r="F28" s="35">
        <f t="shared" si="5"/>
        <v>13420</v>
      </c>
      <c r="G28" s="42">
        <f t="shared" si="2"/>
        <v>0.5722056632</v>
      </c>
      <c r="H28" s="42">
        <f t="shared" si="3"/>
        <v>0.4277943368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20.25" customHeight="1">
      <c r="A29" s="38"/>
      <c r="B29" s="4">
        <v>6106.0</v>
      </c>
      <c r="C29" s="5" t="s">
        <v>40</v>
      </c>
      <c r="D29" s="35">
        <v>5739.0</v>
      </c>
      <c r="E29" s="35">
        <v>2268.0</v>
      </c>
      <c r="F29" s="35">
        <f t="shared" si="5"/>
        <v>8007</v>
      </c>
      <c r="G29" s="42">
        <f t="shared" si="2"/>
        <v>0.7167478456</v>
      </c>
      <c r="H29" s="42">
        <f t="shared" si="3"/>
        <v>0.2832521544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20.25" customHeight="1">
      <c r="A30" s="38"/>
      <c r="B30" s="4">
        <v>6107.0</v>
      </c>
      <c r="C30" s="5" t="s">
        <v>41</v>
      </c>
      <c r="D30" s="35">
        <v>8129.0</v>
      </c>
      <c r="E30" s="35">
        <v>4104.0</v>
      </c>
      <c r="F30" s="35">
        <f t="shared" si="5"/>
        <v>12233</v>
      </c>
      <c r="G30" s="42">
        <f t="shared" si="2"/>
        <v>0.6645140195</v>
      </c>
      <c r="H30" s="42">
        <f t="shared" si="3"/>
        <v>0.3354859805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20.25" customHeight="1">
      <c r="A31" s="38"/>
      <c r="B31" s="4">
        <v>6108.0</v>
      </c>
      <c r="C31" s="5" t="s">
        <v>42</v>
      </c>
      <c r="D31" s="35">
        <v>10294.0</v>
      </c>
      <c r="E31" s="35">
        <v>8864.0</v>
      </c>
      <c r="F31" s="35">
        <f t="shared" si="5"/>
        <v>19158</v>
      </c>
      <c r="G31" s="42">
        <f t="shared" si="2"/>
        <v>0.5373212235</v>
      </c>
      <c r="H31" s="42">
        <f t="shared" si="3"/>
        <v>0.4626787765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20.25" customHeight="1">
      <c r="A32" s="38"/>
      <c r="B32" s="4">
        <v>6109.0</v>
      </c>
      <c r="C32" s="5" t="s">
        <v>43</v>
      </c>
      <c r="D32" s="35">
        <v>6533.0</v>
      </c>
      <c r="E32" s="35">
        <v>3437.0</v>
      </c>
      <c r="F32" s="35">
        <f t="shared" si="5"/>
        <v>9970</v>
      </c>
      <c r="G32" s="42">
        <f t="shared" si="2"/>
        <v>0.6552657974</v>
      </c>
      <c r="H32" s="42">
        <f t="shared" si="3"/>
        <v>0.3447342026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20.25" customHeight="1">
      <c r="A33" s="38"/>
      <c r="B33" s="4">
        <v>6110.0</v>
      </c>
      <c r="C33" s="5" t="s">
        <v>44</v>
      </c>
      <c r="D33" s="35">
        <v>10175.0</v>
      </c>
      <c r="E33" s="35">
        <v>9979.0</v>
      </c>
      <c r="F33" s="35">
        <f t="shared" si="5"/>
        <v>20154</v>
      </c>
      <c r="G33" s="42">
        <f t="shared" si="2"/>
        <v>0.5048625583</v>
      </c>
      <c r="H33" s="42">
        <f t="shared" si="3"/>
        <v>0.4951374417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20.25" customHeight="1">
      <c r="A34" s="38"/>
      <c r="B34" s="43">
        <v>6111.0</v>
      </c>
      <c r="C34" s="44" t="s">
        <v>45</v>
      </c>
      <c r="D34" s="45">
        <v>7567.0</v>
      </c>
      <c r="E34" s="45">
        <v>4844.0</v>
      </c>
      <c r="F34" s="45">
        <f t="shared" si="5"/>
        <v>12411</v>
      </c>
      <c r="G34" s="46">
        <f t="shared" si="2"/>
        <v>0.6097010716</v>
      </c>
      <c r="H34" s="46">
        <f t="shared" si="3"/>
        <v>0.3902989284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20.25" customHeight="1">
      <c r="A35" s="38"/>
      <c r="B35" s="43">
        <v>6112.0</v>
      </c>
      <c r="C35" s="44" t="s">
        <v>46</v>
      </c>
      <c r="D35" s="45">
        <v>5850.0</v>
      </c>
      <c r="E35" s="45">
        <v>4022.0</v>
      </c>
      <c r="F35" s="45">
        <f t="shared" si="5"/>
        <v>9872</v>
      </c>
      <c r="G35" s="46">
        <f t="shared" si="2"/>
        <v>0.5925850891</v>
      </c>
      <c r="H35" s="46">
        <f t="shared" si="3"/>
        <v>0.4074149109</v>
      </c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20.25" customHeight="1">
      <c r="A36" s="38"/>
      <c r="B36" s="43">
        <v>6113.0</v>
      </c>
      <c r="C36" s="44" t="s">
        <v>47</v>
      </c>
      <c r="D36" s="45">
        <v>8195.0</v>
      </c>
      <c r="E36" s="45">
        <v>10278.0</v>
      </c>
      <c r="F36" s="45">
        <f t="shared" si="5"/>
        <v>18473</v>
      </c>
      <c r="G36" s="46">
        <f t="shared" si="2"/>
        <v>0.443620419</v>
      </c>
      <c r="H36" s="46">
        <f t="shared" si="3"/>
        <v>0.556379581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20.25" customHeight="1">
      <c r="A37" s="38"/>
      <c r="B37" s="43">
        <v>6114.0</v>
      </c>
      <c r="C37" s="44" t="s">
        <v>48</v>
      </c>
      <c r="D37" s="45">
        <v>7661.0</v>
      </c>
      <c r="E37" s="45">
        <v>3690.0</v>
      </c>
      <c r="F37" s="45">
        <f t="shared" si="5"/>
        <v>11351</v>
      </c>
      <c r="G37" s="46">
        <f t="shared" si="2"/>
        <v>0.6749185094</v>
      </c>
      <c r="H37" s="46">
        <f t="shared" si="3"/>
        <v>0.3250814906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20.25" customHeight="1">
      <c r="A38" s="38"/>
      <c r="B38" s="4">
        <v>6115.0</v>
      </c>
      <c r="C38" s="5" t="s">
        <v>49</v>
      </c>
      <c r="D38" s="35">
        <v>8145.0</v>
      </c>
      <c r="E38" s="35">
        <v>3595.0</v>
      </c>
      <c r="F38" s="35">
        <f t="shared" si="5"/>
        <v>11740</v>
      </c>
      <c r="G38" s="42">
        <f t="shared" si="2"/>
        <v>0.6937819421</v>
      </c>
      <c r="H38" s="42">
        <f t="shared" si="3"/>
        <v>0.3062180579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20.25" customHeight="1">
      <c r="A39" s="38"/>
      <c r="B39" s="47">
        <v>6116.0</v>
      </c>
      <c r="C39" s="48" t="s">
        <v>50</v>
      </c>
      <c r="D39" s="49">
        <v>7923.0</v>
      </c>
      <c r="E39" s="49">
        <v>4165.0</v>
      </c>
      <c r="F39" s="49">
        <f t="shared" si="5"/>
        <v>12088</v>
      </c>
      <c r="G39" s="50">
        <f t="shared" si="2"/>
        <v>0.655443415</v>
      </c>
      <c r="H39" s="50">
        <f t="shared" si="3"/>
        <v>0.344556585</v>
      </c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20.25" customHeight="1">
      <c r="A40" s="38"/>
      <c r="B40" s="4">
        <v>6117.0</v>
      </c>
      <c r="C40" s="52" t="s">
        <v>51</v>
      </c>
      <c r="D40" s="53">
        <v>5100.0</v>
      </c>
      <c r="E40" s="53">
        <v>3373.0</v>
      </c>
      <c r="F40" s="53">
        <f t="shared" si="5"/>
        <v>8473</v>
      </c>
      <c r="G40" s="42">
        <f t="shared" si="2"/>
        <v>0.6019119556</v>
      </c>
      <c r="H40" s="42">
        <f t="shared" si="3"/>
        <v>0.3980880444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20.25" customHeight="1">
      <c r="A41" s="38"/>
      <c r="B41" s="4">
        <v>6118.0</v>
      </c>
      <c r="C41" s="54" t="s">
        <v>52</v>
      </c>
      <c r="D41" s="55">
        <v>2836.0</v>
      </c>
      <c r="E41" s="55">
        <v>1840.0</v>
      </c>
      <c r="F41" s="55">
        <f t="shared" si="5"/>
        <v>4676</v>
      </c>
      <c r="G41" s="42">
        <f t="shared" si="2"/>
        <v>0.6065012831</v>
      </c>
      <c r="H41" s="42">
        <f t="shared" si="3"/>
        <v>0.3934987169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20.25" customHeight="1">
      <c r="A42" s="38"/>
      <c r="B42" s="4">
        <v>6171.0</v>
      </c>
      <c r="C42" s="54" t="s">
        <v>53</v>
      </c>
      <c r="D42" s="55">
        <v>10196.0</v>
      </c>
      <c r="E42" s="55">
        <v>5830.0</v>
      </c>
      <c r="F42" s="55">
        <f t="shared" si="5"/>
        <v>16026</v>
      </c>
      <c r="G42" s="42">
        <f t="shared" si="2"/>
        <v>0.6362161488</v>
      </c>
      <c r="H42" s="42">
        <f t="shared" si="3"/>
        <v>0.3637838512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20.25" customHeight="1">
      <c r="A43" s="38"/>
      <c r="B43" s="47">
        <v>6172.0</v>
      </c>
      <c r="C43" s="48" t="s">
        <v>54</v>
      </c>
      <c r="D43" s="49">
        <v>5419.0</v>
      </c>
      <c r="E43" s="49">
        <v>2416.0</v>
      </c>
      <c r="F43" s="49">
        <f t="shared" si="5"/>
        <v>7835</v>
      </c>
      <c r="G43" s="50">
        <f t="shared" si="2"/>
        <v>0.6916400766</v>
      </c>
      <c r="H43" s="50">
        <f t="shared" si="3"/>
        <v>0.3083599234</v>
      </c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20.25" customHeight="1">
      <c r="A44" s="38"/>
      <c r="B44" s="4">
        <v>6173.0</v>
      </c>
      <c r="C44" s="54" t="s">
        <v>55</v>
      </c>
      <c r="D44" s="55">
        <v>2786.0</v>
      </c>
      <c r="E44" s="55">
        <v>856.0</v>
      </c>
      <c r="F44" s="55">
        <f t="shared" si="5"/>
        <v>3642</v>
      </c>
      <c r="G44" s="42">
        <f t="shared" si="2"/>
        <v>0.7649643053</v>
      </c>
      <c r="H44" s="42">
        <f t="shared" si="3"/>
        <v>0.2350356947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20.25" customHeight="1">
      <c r="A45" s="38"/>
      <c r="B45" s="4">
        <v>6174.0</v>
      </c>
      <c r="C45" s="5" t="s">
        <v>56</v>
      </c>
      <c r="D45" s="35">
        <v>3740.0</v>
      </c>
      <c r="E45" s="35">
        <v>2032.0</v>
      </c>
      <c r="F45" s="35">
        <f t="shared" si="5"/>
        <v>5772</v>
      </c>
      <c r="G45" s="42">
        <f t="shared" si="2"/>
        <v>0.647955648</v>
      </c>
      <c r="H45" s="42">
        <f t="shared" si="3"/>
        <v>0.352044352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20.25" customHeight="1">
      <c r="A46" s="38"/>
      <c r="B46" s="4">
        <v>6175.0</v>
      </c>
      <c r="C46" s="5" t="s">
        <v>57</v>
      </c>
      <c r="D46" s="35">
        <v>7646.0</v>
      </c>
      <c r="E46" s="35">
        <v>11601.0</v>
      </c>
      <c r="F46" s="35">
        <f t="shared" si="5"/>
        <v>19247</v>
      </c>
      <c r="G46" s="42">
        <f t="shared" si="2"/>
        <v>0.3972567153</v>
      </c>
      <c r="H46" s="42">
        <f t="shared" si="3"/>
        <v>0.6027432847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20.25" customHeight="1">
      <c r="A47" s="38"/>
      <c r="B47" s="4">
        <v>6176.0</v>
      </c>
      <c r="C47" s="5" t="s">
        <v>58</v>
      </c>
      <c r="D47" s="35">
        <v>5313.0</v>
      </c>
      <c r="E47" s="35">
        <v>1929.0</v>
      </c>
      <c r="F47" s="35">
        <f t="shared" si="5"/>
        <v>7242</v>
      </c>
      <c r="G47" s="42">
        <f t="shared" si="2"/>
        <v>0.7336371168</v>
      </c>
      <c r="H47" s="42">
        <f t="shared" si="3"/>
        <v>0.2663628832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20.25" customHeight="1">
      <c r="A48" s="38"/>
      <c r="B48" s="4">
        <v>6177.0</v>
      </c>
      <c r="C48" s="5" t="s">
        <v>59</v>
      </c>
      <c r="D48" s="35">
        <v>3415.0</v>
      </c>
      <c r="E48" s="35">
        <v>2896.0</v>
      </c>
      <c r="F48" s="35">
        <f t="shared" si="5"/>
        <v>6311</v>
      </c>
      <c r="G48" s="42">
        <f t="shared" si="2"/>
        <v>0.5411186817</v>
      </c>
      <c r="H48" s="42">
        <f t="shared" si="3"/>
        <v>0.4588813183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20.25" customHeight="1">
      <c r="A49" s="38"/>
      <c r="B49" s="4">
        <v>6178.0</v>
      </c>
      <c r="C49" s="5" t="s">
        <v>60</v>
      </c>
      <c r="D49" s="35">
        <v>5001.0</v>
      </c>
      <c r="E49" s="35">
        <v>1465.0</v>
      </c>
      <c r="F49" s="35">
        <f t="shared" si="5"/>
        <v>6466</v>
      </c>
      <c r="G49" s="42">
        <f t="shared" si="2"/>
        <v>0.7734302505</v>
      </c>
      <c r="H49" s="42">
        <f t="shared" si="3"/>
        <v>0.2265697495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9.5" customHeight="1">
      <c r="A50" s="38"/>
      <c r="B50" s="4">
        <v>6179.0</v>
      </c>
      <c r="C50" s="5" t="s">
        <v>61</v>
      </c>
      <c r="D50" s="35">
        <v>2611.0</v>
      </c>
      <c r="E50" s="35">
        <v>2250.0</v>
      </c>
      <c r="F50" s="35">
        <f t="shared" si="5"/>
        <v>4861</v>
      </c>
      <c r="G50" s="42">
        <f t="shared" si="2"/>
        <v>0.5371322773</v>
      </c>
      <c r="H50" s="42">
        <f t="shared" si="3"/>
        <v>0.4628677227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20.25" customHeight="1">
      <c r="A51" s="38"/>
      <c r="B51" s="24" t="s">
        <v>62</v>
      </c>
      <c r="C51" s="25"/>
      <c r="D51" s="56">
        <f t="shared" ref="D51:E51" si="6">SUM(D23:D50)</f>
        <v>210911</v>
      </c>
      <c r="E51" s="56">
        <f t="shared" si="6"/>
        <v>167833</v>
      </c>
      <c r="F51" s="35">
        <f t="shared" si="5"/>
        <v>378744</v>
      </c>
      <c r="G51" s="57">
        <f t="shared" si="2"/>
        <v>0.5568695478</v>
      </c>
      <c r="H51" s="57">
        <f t="shared" si="3"/>
        <v>0.4431304522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20.25" customHeight="1">
      <c r="A52" s="38"/>
      <c r="B52" s="17">
        <v>6200.0</v>
      </c>
      <c r="C52" s="18" t="s">
        <v>63</v>
      </c>
      <c r="D52" s="58">
        <v>8280.0</v>
      </c>
      <c r="E52" s="58">
        <v>13375.0</v>
      </c>
      <c r="F52" s="58">
        <f t="shared" si="5"/>
        <v>21655</v>
      </c>
      <c r="G52" s="42">
        <f t="shared" si="2"/>
        <v>0.3823597322</v>
      </c>
      <c r="H52" s="42">
        <f t="shared" si="3"/>
        <v>0.6176402678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20.25" customHeight="1">
      <c r="A53" s="38"/>
      <c r="B53" s="17">
        <v>6201.0</v>
      </c>
      <c r="C53" s="18" t="s">
        <v>64</v>
      </c>
      <c r="D53" s="58">
        <v>7538.0</v>
      </c>
      <c r="E53" s="58">
        <v>2633.0</v>
      </c>
      <c r="F53" s="58">
        <f t="shared" si="5"/>
        <v>10171</v>
      </c>
      <c r="G53" s="59">
        <f t="shared" si="2"/>
        <v>0.7411267329</v>
      </c>
      <c r="H53" s="59">
        <f t="shared" si="3"/>
        <v>0.2588732671</v>
      </c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20.25" customHeight="1">
      <c r="A54" s="38"/>
      <c r="B54" s="17">
        <v>6202.0</v>
      </c>
      <c r="C54" s="18" t="s">
        <v>65</v>
      </c>
      <c r="D54" s="58">
        <v>7395.0</v>
      </c>
      <c r="E54" s="58">
        <v>5240.0</v>
      </c>
      <c r="F54" s="58">
        <f t="shared" si="5"/>
        <v>12635</v>
      </c>
      <c r="G54" s="59">
        <f t="shared" si="2"/>
        <v>0.5852789869</v>
      </c>
      <c r="H54" s="59">
        <f t="shared" si="3"/>
        <v>0.4147210131</v>
      </c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20.25" customHeight="1">
      <c r="A55" s="38"/>
      <c r="B55" s="17">
        <v>6203.0</v>
      </c>
      <c r="C55" s="18" t="s">
        <v>66</v>
      </c>
      <c r="D55" s="58">
        <v>7161.0</v>
      </c>
      <c r="E55" s="58">
        <v>5223.0</v>
      </c>
      <c r="F55" s="58">
        <f t="shared" si="5"/>
        <v>12384</v>
      </c>
      <c r="G55" s="59">
        <f t="shared" si="2"/>
        <v>0.578246124</v>
      </c>
      <c r="H55" s="59">
        <f t="shared" si="3"/>
        <v>0.421753876</v>
      </c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20.25" customHeight="1">
      <c r="A56" s="38"/>
      <c r="B56" s="4">
        <v>6204.0</v>
      </c>
      <c r="C56" s="5" t="s">
        <v>67</v>
      </c>
      <c r="D56" s="35">
        <v>9345.0</v>
      </c>
      <c r="E56" s="35">
        <v>6515.0</v>
      </c>
      <c r="F56" s="35">
        <f t="shared" si="5"/>
        <v>15860</v>
      </c>
      <c r="G56" s="42">
        <f t="shared" si="2"/>
        <v>0.5892181589</v>
      </c>
      <c r="H56" s="42">
        <f t="shared" si="3"/>
        <v>0.4107818411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20.25" customHeight="1">
      <c r="A57" s="38"/>
      <c r="B57" s="4">
        <v>6271.0</v>
      </c>
      <c r="C57" s="5" t="s">
        <v>68</v>
      </c>
      <c r="D57" s="35">
        <v>6135.0</v>
      </c>
      <c r="E57" s="35">
        <v>7595.0</v>
      </c>
      <c r="F57" s="35">
        <f t="shared" si="5"/>
        <v>13730</v>
      </c>
      <c r="G57" s="42">
        <f t="shared" si="2"/>
        <v>0.4468317553</v>
      </c>
      <c r="H57" s="42">
        <f t="shared" si="3"/>
        <v>0.5531682447</v>
      </c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20.25" customHeight="1">
      <c r="A58" s="38"/>
      <c r="B58" s="4">
        <v>6272.0</v>
      </c>
      <c r="C58" s="5" t="s">
        <v>69</v>
      </c>
      <c r="D58" s="35">
        <v>4244.0</v>
      </c>
      <c r="E58" s="35">
        <v>1618.0</v>
      </c>
      <c r="F58" s="35">
        <f t="shared" si="5"/>
        <v>5862</v>
      </c>
      <c r="G58" s="42">
        <f t="shared" si="2"/>
        <v>0.7239849881</v>
      </c>
      <c r="H58" s="42">
        <f t="shared" si="3"/>
        <v>0.2760150119</v>
      </c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20.25" customHeight="1">
      <c r="A59" s="38"/>
      <c r="B59" s="4">
        <v>6273.0</v>
      </c>
      <c r="C59" s="5" t="s">
        <v>70</v>
      </c>
      <c r="D59" s="35">
        <v>3891.0</v>
      </c>
      <c r="E59" s="35">
        <v>1956.0</v>
      </c>
      <c r="F59" s="35">
        <f t="shared" si="5"/>
        <v>5847</v>
      </c>
      <c r="G59" s="42">
        <f t="shared" si="2"/>
        <v>0.6654694715</v>
      </c>
      <c r="H59" s="42">
        <f t="shared" si="3"/>
        <v>0.3345305285</v>
      </c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20.25" customHeight="1">
      <c r="A60" s="3"/>
      <c r="B60" s="4">
        <v>6274.0</v>
      </c>
      <c r="C60" s="5" t="s">
        <v>71</v>
      </c>
      <c r="D60" s="35">
        <v>4109.0</v>
      </c>
      <c r="E60" s="35">
        <v>11297.0</v>
      </c>
      <c r="F60" s="35">
        <f t="shared" si="5"/>
        <v>15406</v>
      </c>
      <c r="G60" s="42">
        <f t="shared" si="2"/>
        <v>0.2667142672</v>
      </c>
      <c r="H60" s="42">
        <f t="shared" si="3"/>
        <v>0.7332857328</v>
      </c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20.25" customHeight="1">
      <c r="A61" s="60"/>
      <c r="B61" s="61" t="s">
        <v>72</v>
      </c>
      <c r="C61" s="25"/>
      <c r="D61" s="62">
        <f t="shared" ref="D61:F61" si="7">SUM(D52:D60)</f>
        <v>58098</v>
      </c>
      <c r="E61" s="62">
        <f t="shared" si="7"/>
        <v>55452</v>
      </c>
      <c r="F61" s="62">
        <f t="shared" si="7"/>
        <v>113550</v>
      </c>
      <c r="G61" s="57">
        <f t="shared" si="2"/>
        <v>0.511651255</v>
      </c>
      <c r="H61" s="57">
        <f t="shared" si="3"/>
        <v>0.488348745</v>
      </c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31.5" customHeight="1">
      <c r="A62" s="63" t="s">
        <v>73</v>
      </c>
      <c r="B62" s="64"/>
      <c r="C62" s="25"/>
      <c r="D62" s="62">
        <f t="shared" ref="D62:F62" si="8">D51+D61</f>
        <v>269009</v>
      </c>
      <c r="E62" s="62">
        <f t="shared" si="8"/>
        <v>223285</v>
      </c>
      <c r="F62" s="62">
        <f t="shared" si="8"/>
        <v>492294</v>
      </c>
      <c r="G62" s="57">
        <f t="shared" si="2"/>
        <v>0.5464397291</v>
      </c>
      <c r="H62" s="57">
        <f t="shared" si="3"/>
        <v>0.4535602709</v>
      </c>
    </row>
    <row r="63" ht="36.0" customHeight="1">
      <c r="A63" s="65" t="s">
        <v>88</v>
      </c>
      <c r="B63" s="64"/>
      <c r="C63" s="25"/>
      <c r="D63" s="56">
        <f t="shared" ref="D63:E63" si="9">D22+D62</f>
        <v>310942</v>
      </c>
      <c r="E63" s="56">
        <f t="shared" si="9"/>
        <v>226229</v>
      </c>
      <c r="F63" s="56">
        <f>SUM(D63:E63)</f>
        <v>537171</v>
      </c>
      <c r="G63" s="42">
        <f t="shared" si="2"/>
        <v>0.5788510549</v>
      </c>
      <c r="H63" s="42">
        <f t="shared" si="3"/>
        <v>0.4211489451</v>
      </c>
    </row>
    <row r="64" ht="15.75" customHeight="1">
      <c r="B64" s="29"/>
    </row>
    <row r="65" ht="15.75" customHeight="1">
      <c r="B65" s="29"/>
    </row>
    <row r="66" ht="15.75" customHeight="1">
      <c r="B66" s="29"/>
    </row>
    <row r="67" ht="15.75" customHeight="1">
      <c r="B67" s="29"/>
    </row>
    <row r="68" ht="15.75" customHeight="1">
      <c r="B68" s="29"/>
    </row>
    <row r="69" ht="15.75" customHeight="1">
      <c r="B69" s="29"/>
    </row>
    <row r="70" ht="15.75" customHeight="1">
      <c r="B70" s="29"/>
    </row>
    <row r="71" ht="15.75" customHeight="1">
      <c r="B71" s="29"/>
    </row>
    <row r="72" ht="15.75" customHeight="1">
      <c r="B72" s="29"/>
    </row>
    <row r="73" ht="15.75" customHeight="1">
      <c r="B73" s="29"/>
    </row>
    <row r="74" ht="15.75" customHeight="1">
      <c r="B74" s="29"/>
    </row>
    <row r="75" ht="15.75" customHeight="1">
      <c r="B75" s="29"/>
    </row>
    <row r="76" ht="15.75" customHeight="1">
      <c r="B76" s="29"/>
    </row>
    <row r="77" ht="15.75" customHeight="1">
      <c r="B77" s="29"/>
    </row>
    <row r="78" ht="15.75" customHeight="1">
      <c r="B78" s="29"/>
    </row>
    <row r="79" ht="15.75" customHeight="1">
      <c r="B79" s="29"/>
    </row>
    <row r="80" ht="15.75" customHeight="1">
      <c r="B80" s="29"/>
    </row>
    <row r="81" ht="15.75" customHeight="1">
      <c r="B81" s="29"/>
    </row>
    <row r="82" ht="15.75" customHeight="1">
      <c r="B82" s="29"/>
    </row>
    <row r="83" ht="15.75" customHeight="1">
      <c r="B83" s="29"/>
    </row>
    <row r="84" ht="15.75" customHeight="1">
      <c r="B84" s="29"/>
    </row>
    <row r="85" ht="15.75" customHeight="1">
      <c r="B85" s="29"/>
    </row>
    <row r="86" ht="15.75" customHeight="1">
      <c r="B86" s="29"/>
    </row>
    <row r="87" ht="15.75" customHeight="1">
      <c r="B87" s="29"/>
    </row>
    <row r="88" ht="15.75" customHeight="1">
      <c r="B88" s="29"/>
    </row>
    <row r="89" ht="15.75" customHeight="1">
      <c r="B89" s="29"/>
    </row>
    <row r="90" ht="15.75" customHeight="1">
      <c r="B90" s="29"/>
    </row>
    <row r="91" ht="15.75" customHeight="1">
      <c r="B91" s="29"/>
    </row>
    <row r="92" ht="15.75" customHeight="1">
      <c r="B92" s="29"/>
    </row>
    <row r="93" ht="15.75" customHeight="1">
      <c r="B93" s="29"/>
    </row>
    <row r="94" ht="15.75" customHeight="1">
      <c r="B94" s="29"/>
    </row>
    <row r="95" ht="15.75" customHeight="1">
      <c r="B95" s="29"/>
    </row>
    <row r="96" ht="15.75" customHeight="1">
      <c r="B96" s="29"/>
    </row>
    <row r="97" ht="15.75" customHeight="1">
      <c r="B97" s="29"/>
    </row>
    <row r="98" ht="15.75" customHeight="1">
      <c r="B98" s="29"/>
    </row>
    <row r="99" ht="15.75" customHeight="1">
      <c r="B99" s="29"/>
    </row>
    <row r="100" ht="15.75" customHeight="1">
      <c r="B100" s="29"/>
    </row>
    <row r="101" ht="15.75" customHeight="1">
      <c r="B101" s="29"/>
    </row>
    <row r="102" ht="15.75" customHeight="1">
      <c r="B102" s="29"/>
    </row>
    <row r="103" ht="15.75" customHeight="1">
      <c r="B103" s="29"/>
    </row>
    <row r="104" ht="15.75" customHeight="1">
      <c r="B104" s="29"/>
    </row>
    <row r="105" ht="15.75" customHeight="1">
      <c r="B105" s="29"/>
    </row>
    <row r="106" ht="15.75" customHeight="1">
      <c r="B106" s="29"/>
    </row>
    <row r="107" ht="15.75" customHeight="1">
      <c r="B107" s="29"/>
    </row>
    <row r="108" ht="15.75" customHeight="1">
      <c r="B108" s="29"/>
    </row>
    <row r="109" ht="15.75" customHeight="1">
      <c r="B109" s="29"/>
    </row>
    <row r="110" ht="15.75" customHeight="1">
      <c r="B110" s="29"/>
    </row>
    <row r="111" ht="15.75" customHeight="1">
      <c r="B111" s="29"/>
    </row>
    <row r="112" ht="15.75" customHeight="1">
      <c r="B112" s="29"/>
    </row>
    <row r="113" ht="15.75" customHeight="1">
      <c r="B113" s="29"/>
    </row>
    <row r="114" ht="15.75" customHeight="1">
      <c r="B114" s="29"/>
    </row>
    <row r="115" ht="15.75" customHeight="1">
      <c r="B115" s="29"/>
    </row>
    <row r="116" ht="15.75" customHeight="1">
      <c r="B116" s="29"/>
    </row>
    <row r="117" ht="15.75" customHeight="1">
      <c r="B117" s="29"/>
    </row>
    <row r="118" ht="15.75" customHeight="1">
      <c r="B118" s="29"/>
    </row>
    <row r="119" ht="15.75" customHeight="1">
      <c r="B119" s="29"/>
    </row>
    <row r="120" ht="15.75" customHeight="1">
      <c r="B120" s="29"/>
    </row>
    <row r="121" ht="15.75" customHeight="1">
      <c r="B121" s="29"/>
    </row>
    <row r="122" ht="15.75" customHeight="1">
      <c r="B122" s="29"/>
    </row>
    <row r="123" ht="15.75" customHeight="1">
      <c r="B123" s="29"/>
    </row>
    <row r="124" ht="15.75" customHeight="1">
      <c r="B124" s="29"/>
    </row>
    <row r="125" ht="15.75" customHeight="1">
      <c r="B125" s="29"/>
    </row>
    <row r="126" ht="15.75" customHeight="1">
      <c r="B126" s="29"/>
    </row>
    <row r="127" ht="15.75" customHeight="1">
      <c r="B127" s="29"/>
    </row>
    <row r="128" ht="15.75" customHeight="1">
      <c r="B128" s="29"/>
    </row>
    <row r="129" ht="15.75" customHeight="1">
      <c r="B129" s="29"/>
    </row>
    <row r="130" ht="15.75" customHeight="1">
      <c r="B130" s="29"/>
    </row>
    <row r="131" ht="15.75" customHeight="1">
      <c r="B131" s="29"/>
    </row>
    <row r="132" ht="15.75" customHeight="1">
      <c r="B132" s="29"/>
    </row>
    <row r="133" ht="15.75" customHeight="1">
      <c r="B133" s="29"/>
    </row>
    <row r="134" ht="15.75" customHeight="1">
      <c r="B134" s="29"/>
    </row>
    <row r="135" ht="15.75" customHeight="1">
      <c r="B135" s="29"/>
    </row>
    <row r="136" ht="15.75" customHeight="1">
      <c r="B136" s="29"/>
    </row>
    <row r="137" ht="15.75" customHeight="1">
      <c r="B137" s="29"/>
    </row>
    <row r="138" ht="15.75" customHeight="1">
      <c r="B138" s="29"/>
    </row>
    <row r="139" ht="15.75" customHeight="1">
      <c r="B139" s="29"/>
    </row>
    <row r="140" ht="15.75" customHeight="1">
      <c r="B140" s="29"/>
    </row>
    <row r="141" ht="15.75" customHeight="1">
      <c r="B141" s="29"/>
    </row>
    <row r="142" ht="15.75" customHeight="1">
      <c r="B142" s="29"/>
    </row>
    <row r="143" ht="15.75" customHeight="1">
      <c r="B143" s="29"/>
    </row>
    <row r="144" ht="15.75" customHeight="1">
      <c r="B144" s="29"/>
    </row>
    <row r="145" ht="15.75" customHeight="1">
      <c r="B145" s="29"/>
    </row>
    <row r="146" ht="15.75" customHeight="1">
      <c r="B146" s="29"/>
    </row>
    <row r="147" ht="15.75" customHeight="1">
      <c r="B147" s="29"/>
    </row>
    <row r="148" ht="15.75" customHeight="1">
      <c r="B148" s="29"/>
    </row>
    <row r="149" ht="15.75" customHeight="1">
      <c r="B149" s="29"/>
    </row>
    <row r="150" ht="15.75" customHeight="1">
      <c r="B150" s="29"/>
    </row>
    <row r="151" ht="15.75" customHeight="1">
      <c r="B151" s="29"/>
    </row>
    <row r="152" ht="15.75" customHeight="1">
      <c r="B152" s="29"/>
    </row>
    <row r="153" ht="15.75" customHeight="1">
      <c r="B153" s="29"/>
    </row>
    <row r="154" ht="15.75" customHeight="1">
      <c r="B154" s="29"/>
    </row>
    <row r="155" ht="15.75" customHeight="1">
      <c r="B155" s="29"/>
    </row>
    <row r="156" ht="15.75" customHeight="1">
      <c r="B156" s="29"/>
    </row>
    <row r="157" ht="15.75" customHeight="1">
      <c r="B157" s="29"/>
    </row>
    <row r="158" ht="15.75" customHeight="1">
      <c r="B158" s="29"/>
    </row>
    <row r="159" ht="15.75" customHeight="1">
      <c r="B159" s="29"/>
    </row>
    <row r="160" ht="15.75" customHeight="1">
      <c r="B160" s="29"/>
    </row>
    <row r="161" ht="15.75" customHeight="1">
      <c r="B161" s="29"/>
    </row>
    <row r="162" ht="15.75" customHeight="1">
      <c r="B162" s="29"/>
    </row>
    <row r="163" ht="15.75" customHeight="1">
      <c r="B163" s="29"/>
    </row>
    <row r="164" ht="15.75" customHeight="1">
      <c r="B164" s="29"/>
    </row>
    <row r="165" ht="15.75" customHeight="1">
      <c r="B165" s="29"/>
    </row>
    <row r="166" ht="15.75" customHeight="1">
      <c r="B166" s="29"/>
    </row>
    <row r="167" ht="15.75" customHeight="1">
      <c r="B167" s="29"/>
    </row>
    <row r="168" ht="15.75" customHeight="1">
      <c r="B168" s="29"/>
    </row>
    <row r="169" ht="15.75" customHeight="1">
      <c r="B169" s="29"/>
    </row>
    <row r="170" ht="15.75" customHeight="1">
      <c r="B170" s="29"/>
    </row>
    <row r="171" ht="15.75" customHeight="1">
      <c r="B171" s="29"/>
    </row>
    <row r="172" ht="15.75" customHeight="1">
      <c r="B172" s="29"/>
    </row>
    <row r="173" ht="15.75" customHeight="1">
      <c r="B173" s="29"/>
    </row>
    <row r="174" ht="15.75" customHeight="1">
      <c r="B174" s="29"/>
    </row>
    <row r="175" ht="15.75" customHeight="1">
      <c r="B175" s="29"/>
    </row>
    <row r="176" ht="15.75" customHeight="1">
      <c r="B176" s="29"/>
    </row>
    <row r="177" ht="15.75" customHeight="1">
      <c r="B177" s="29"/>
    </row>
    <row r="178" ht="15.75" customHeight="1">
      <c r="B178" s="29"/>
    </row>
    <row r="179" ht="15.75" customHeight="1">
      <c r="B179" s="29"/>
    </row>
    <row r="180" ht="15.75" customHeight="1">
      <c r="B180" s="29"/>
    </row>
    <row r="181" ht="15.75" customHeight="1">
      <c r="B181" s="29"/>
    </row>
    <row r="182" ht="15.75" customHeight="1">
      <c r="B182" s="29"/>
    </row>
    <row r="183" ht="15.75" customHeight="1">
      <c r="B183" s="29"/>
    </row>
    <row r="184" ht="15.75" customHeight="1">
      <c r="B184" s="29"/>
    </row>
    <row r="185" ht="15.75" customHeight="1">
      <c r="B185" s="29"/>
    </row>
    <row r="186" ht="15.75" customHeight="1">
      <c r="B186" s="29"/>
    </row>
    <row r="187" ht="15.75" customHeight="1">
      <c r="B187" s="29"/>
    </row>
    <row r="188" ht="15.75" customHeight="1">
      <c r="B188" s="29"/>
    </row>
    <row r="189" ht="15.75" customHeight="1">
      <c r="B189" s="29"/>
    </row>
    <row r="190" ht="15.75" customHeight="1">
      <c r="B190" s="29"/>
    </row>
    <row r="191" ht="15.75" customHeight="1">
      <c r="B191" s="29"/>
    </row>
    <row r="192" ht="15.75" customHeight="1">
      <c r="B192" s="29"/>
    </row>
    <row r="193" ht="15.75" customHeight="1">
      <c r="B193" s="29"/>
    </row>
    <row r="194" ht="15.75" customHeight="1">
      <c r="B194" s="29"/>
    </row>
    <row r="195" ht="15.75" customHeight="1">
      <c r="B195" s="29"/>
    </row>
    <row r="196" ht="15.75" customHeight="1">
      <c r="B196" s="29"/>
    </row>
    <row r="197" ht="15.75" customHeight="1">
      <c r="B197" s="29"/>
    </row>
    <row r="198" ht="15.75" customHeight="1">
      <c r="B198" s="29"/>
    </row>
    <row r="199" ht="15.75" customHeight="1">
      <c r="B199" s="29"/>
    </row>
    <row r="200" ht="15.75" customHeight="1">
      <c r="B200" s="29"/>
    </row>
    <row r="201" ht="15.75" customHeight="1">
      <c r="B201" s="29"/>
    </row>
    <row r="202" ht="15.75" customHeight="1">
      <c r="B202" s="29"/>
    </row>
    <row r="203" ht="15.75" customHeight="1">
      <c r="B203" s="29"/>
    </row>
    <row r="204" ht="15.75" customHeight="1">
      <c r="B204" s="29"/>
    </row>
    <row r="205" ht="15.75" customHeight="1">
      <c r="B205" s="29"/>
    </row>
    <row r="206" ht="15.75" customHeight="1">
      <c r="B206" s="29"/>
    </row>
    <row r="207" ht="15.75" customHeight="1">
      <c r="B207" s="29"/>
    </row>
    <row r="208" ht="15.75" customHeight="1">
      <c r="B208" s="29"/>
    </row>
    <row r="209" ht="15.75" customHeight="1">
      <c r="B209" s="29"/>
    </row>
    <row r="210" ht="15.75" customHeight="1">
      <c r="B210" s="29"/>
    </row>
    <row r="211" ht="15.75" customHeight="1">
      <c r="B211" s="29"/>
    </row>
    <row r="212" ht="15.75" customHeight="1">
      <c r="B212" s="29"/>
    </row>
    <row r="213" ht="15.75" customHeight="1">
      <c r="B213" s="29"/>
    </row>
    <row r="214" ht="15.75" customHeight="1">
      <c r="B214" s="29"/>
    </row>
    <row r="215" ht="15.75" customHeight="1">
      <c r="B215" s="29"/>
    </row>
    <row r="216" ht="15.75" customHeight="1">
      <c r="B216" s="29"/>
    </row>
    <row r="217" ht="15.75" customHeight="1">
      <c r="B217" s="29"/>
    </row>
    <row r="218" ht="15.75" customHeight="1">
      <c r="B218" s="29"/>
    </row>
    <row r="219" ht="15.75" customHeight="1">
      <c r="B219" s="29"/>
    </row>
    <row r="220" ht="15.75" customHeight="1">
      <c r="B220" s="29"/>
    </row>
    <row r="221" ht="15.75" customHeight="1">
      <c r="B221" s="29"/>
    </row>
    <row r="222" ht="15.75" customHeight="1">
      <c r="B222" s="29"/>
    </row>
    <row r="223" ht="15.75" customHeight="1">
      <c r="B223" s="29"/>
    </row>
    <row r="224" ht="15.75" customHeight="1">
      <c r="B224" s="29"/>
    </row>
    <row r="225" ht="15.75" customHeight="1">
      <c r="B225" s="29"/>
    </row>
    <row r="226" ht="15.75" customHeight="1">
      <c r="B226" s="29"/>
    </row>
    <row r="227" ht="15.75" customHeight="1">
      <c r="B227" s="29"/>
    </row>
    <row r="228" ht="15.75" customHeight="1">
      <c r="B228" s="29"/>
    </row>
    <row r="229" ht="15.75" customHeight="1">
      <c r="B229" s="29"/>
    </row>
    <row r="230" ht="15.75" customHeight="1">
      <c r="B230" s="29"/>
    </row>
    <row r="231" ht="15.75" customHeight="1">
      <c r="B231" s="29"/>
    </row>
    <row r="232" ht="15.75" customHeight="1">
      <c r="B232" s="29"/>
    </row>
    <row r="233" ht="15.75" customHeight="1">
      <c r="B233" s="29"/>
    </row>
    <row r="234" ht="15.75" customHeight="1">
      <c r="B234" s="29"/>
    </row>
    <row r="235" ht="15.75" customHeight="1">
      <c r="B235" s="29"/>
    </row>
    <row r="236" ht="15.75" customHeight="1">
      <c r="B236" s="29"/>
    </row>
    <row r="237" ht="15.75" customHeight="1">
      <c r="B237" s="29"/>
    </row>
    <row r="238" ht="15.75" customHeight="1">
      <c r="B238" s="29"/>
    </row>
    <row r="239" ht="15.75" customHeight="1">
      <c r="B239" s="29"/>
    </row>
    <row r="240" ht="15.75" customHeight="1">
      <c r="B240" s="29"/>
    </row>
    <row r="241" ht="15.75" customHeight="1">
      <c r="B241" s="29"/>
    </row>
    <row r="242" ht="15.75" customHeight="1">
      <c r="B242" s="29"/>
    </row>
    <row r="243" ht="15.75" customHeight="1">
      <c r="B243" s="29"/>
    </row>
    <row r="244" ht="15.75" customHeight="1">
      <c r="B244" s="29"/>
    </row>
    <row r="245" ht="15.75" customHeight="1">
      <c r="B245" s="29"/>
    </row>
    <row r="246" ht="15.75" customHeight="1">
      <c r="B246" s="29"/>
    </row>
    <row r="247" ht="15.75" customHeight="1">
      <c r="B247" s="29"/>
    </row>
    <row r="248" ht="15.75" customHeight="1">
      <c r="B248" s="29"/>
    </row>
    <row r="249" ht="15.75" customHeight="1">
      <c r="B249" s="29"/>
    </row>
    <row r="250" ht="15.75" customHeight="1">
      <c r="B250" s="29"/>
    </row>
    <row r="251" ht="15.75" customHeight="1">
      <c r="B251" s="29"/>
    </row>
    <row r="252" ht="15.75" customHeight="1">
      <c r="B252" s="29"/>
    </row>
    <row r="253" ht="15.75" customHeight="1">
      <c r="B253" s="29"/>
    </row>
    <row r="254" ht="15.75" customHeight="1">
      <c r="B254" s="29"/>
    </row>
    <row r="255" ht="15.75" customHeight="1">
      <c r="B255" s="29"/>
    </row>
    <row r="256" ht="15.75" customHeight="1">
      <c r="B256" s="29"/>
    </row>
    <row r="257" ht="15.75" customHeight="1">
      <c r="B257" s="29"/>
    </row>
    <row r="258" ht="15.75" customHeight="1">
      <c r="B258" s="29"/>
    </row>
    <row r="259" ht="15.75" customHeight="1">
      <c r="B259" s="29"/>
    </row>
    <row r="260" ht="15.75" customHeight="1">
      <c r="B260" s="29"/>
    </row>
    <row r="261" ht="15.75" customHeight="1">
      <c r="B261" s="29"/>
    </row>
    <row r="262" ht="15.75" customHeight="1">
      <c r="B262" s="29"/>
    </row>
    <row r="263" ht="15.75" customHeight="1">
      <c r="B263" s="29"/>
    </row>
    <row r="264" ht="15.75" customHeight="1">
      <c r="B264" s="29"/>
    </row>
    <row r="265" ht="15.75" customHeight="1">
      <c r="B265" s="29"/>
    </row>
    <row r="266" ht="15.75" customHeight="1">
      <c r="B266" s="29"/>
    </row>
    <row r="267" ht="15.75" customHeight="1">
      <c r="B267" s="29"/>
    </row>
    <row r="268" ht="15.75" customHeight="1">
      <c r="B268" s="29"/>
    </row>
    <row r="269" ht="15.75" customHeight="1">
      <c r="B269" s="29"/>
    </row>
    <row r="270" ht="15.75" customHeight="1">
      <c r="B270" s="29"/>
    </row>
    <row r="271" ht="15.75" customHeight="1">
      <c r="B271" s="29"/>
    </row>
    <row r="272" ht="15.75" customHeight="1">
      <c r="B272" s="29"/>
    </row>
    <row r="273" ht="15.75" customHeight="1">
      <c r="B273" s="29"/>
    </row>
    <row r="274" ht="15.75" customHeight="1">
      <c r="B274" s="29"/>
    </row>
    <row r="275" ht="15.75" customHeight="1">
      <c r="B275" s="29"/>
    </row>
    <row r="276" ht="15.75" customHeight="1">
      <c r="B276" s="29"/>
    </row>
    <row r="277" ht="15.75" customHeight="1">
      <c r="B277" s="29"/>
    </row>
    <row r="278" ht="15.75" customHeight="1">
      <c r="B278" s="29"/>
    </row>
    <row r="279" ht="15.75" customHeight="1">
      <c r="B279" s="29"/>
    </row>
    <row r="280" ht="15.75" customHeight="1">
      <c r="B280" s="29"/>
    </row>
    <row r="281" ht="15.75" customHeight="1">
      <c r="B281" s="29"/>
    </row>
    <row r="282" ht="15.75" customHeight="1">
      <c r="B282" s="29"/>
    </row>
    <row r="283" ht="15.75" customHeight="1">
      <c r="B283" s="29"/>
    </row>
    <row r="284" ht="15.75" customHeight="1">
      <c r="B284" s="29"/>
    </row>
    <row r="285" ht="15.75" customHeight="1">
      <c r="B285" s="29"/>
    </row>
    <row r="286" ht="15.75" customHeight="1">
      <c r="B286" s="29"/>
    </row>
    <row r="287" ht="15.75" customHeight="1">
      <c r="B287" s="29"/>
    </row>
    <row r="288" ht="15.75" customHeight="1">
      <c r="B288" s="29"/>
    </row>
    <row r="289" ht="15.75" customHeight="1">
      <c r="B289" s="29"/>
    </row>
    <row r="290" ht="15.75" customHeight="1">
      <c r="B290" s="29"/>
    </row>
    <row r="291" ht="15.75" customHeight="1">
      <c r="B291" s="29"/>
    </row>
    <row r="292" ht="15.75" customHeight="1">
      <c r="B292" s="29"/>
    </row>
    <row r="293" ht="15.75" customHeight="1">
      <c r="B293" s="29"/>
    </row>
    <row r="294" ht="15.75" customHeight="1">
      <c r="B294" s="29"/>
    </row>
    <row r="295" ht="15.75" customHeight="1">
      <c r="B295" s="29"/>
    </row>
    <row r="296" ht="15.75" customHeight="1">
      <c r="B296" s="29"/>
    </row>
    <row r="297" ht="15.75" customHeight="1">
      <c r="B297" s="29"/>
    </row>
    <row r="298" ht="15.75" customHeight="1">
      <c r="B298" s="29"/>
    </row>
    <row r="299" ht="15.75" customHeight="1">
      <c r="B299" s="29"/>
    </row>
    <row r="300" ht="15.75" customHeight="1">
      <c r="B300" s="29"/>
    </row>
    <row r="301" ht="15.75" customHeight="1">
      <c r="B301" s="29"/>
    </row>
    <row r="302" ht="15.75" customHeight="1">
      <c r="B302" s="29"/>
    </row>
    <row r="303" ht="15.75" customHeight="1">
      <c r="B303" s="29"/>
    </row>
    <row r="304" ht="15.75" customHeight="1">
      <c r="B304" s="29"/>
    </row>
    <row r="305" ht="15.75" customHeight="1">
      <c r="B305" s="29"/>
    </row>
    <row r="306" ht="15.75" customHeight="1">
      <c r="B306" s="29"/>
    </row>
    <row r="307" ht="15.75" customHeight="1">
      <c r="B307" s="29"/>
    </row>
    <row r="308" ht="15.75" customHeight="1">
      <c r="B308" s="29"/>
    </row>
    <row r="309" ht="15.75" customHeight="1">
      <c r="B309" s="29"/>
    </row>
    <row r="310" ht="15.75" customHeight="1">
      <c r="B310" s="29"/>
    </row>
    <row r="311" ht="15.75" customHeight="1">
      <c r="B311" s="29"/>
    </row>
    <row r="312" ht="15.75" customHeight="1">
      <c r="B312" s="29"/>
    </row>
    <row r="313" ht="15.75" customHeight="1">
      <c r="B313" s="29"/>
    </row>
    <row r="314" ht="15.75" customHeight="1">
      <c r="B314" s="29"/>
    </row>
    <row r="315" ht="15.75" customHeight="1">
      <c r="B315" s="29"/>
    </row>
    <row r="316" ht="15.75" customHeight="1">
      <c r="B316" s="29"/>
    </row>
    <row r="317" ht="15.75" customHeight="1">
      <c r="B317" s="29"/>
    </row>
    <row r="318" ht="15.75" customHeight="1">
      <c r="B318" s="29"/>
    </row>
    <row r="319" ht="15.75" customHeight="1">
      <c r="B319" s="29"/>
    </row>
    <row r="320" ht="15.75" customHeight="1">
      <c r="B320" s="29"/>
    </row>
    <row r="321" ht="15.75" customHeight="1">
      <c r="B321" s="29"/>
    </row>
    <row r="322" ht="15.75" customHeight="1">
      <c r="B322" s="29"/>
    </row>
    <row r="323" ht="15.75" customHeight="1">
      <c r="B323" s="29"/>
    </row>
    <row r="324" ht="15.75" customHeight="1">
      <c r="B324" s="29"/>
    </row>
    <row r="325" ht="15.75" customHeight="1">
      <c r="B325" s="29"/>
    </row>
    <row r="326" ht="15.75" customHeight="1">
      <c r="B326" s="29"/>
    </row>
    <row r="327" ht="15.75" customHeight="1">
      <c r="B327" s="29"/>
    </row>
    <row r="328" ht="15.75" customHeight="1">
      <c r="B328" s="29"/>
    </row>
    <row r="329" ht="15.75" customHeight="1">
      <c r="B329" s="29"/>
    </row>
    <row r="330" ht="15.75" customHeight="1">
      <c r="B330" s="29"/>
    </row>
    <row r="331" ht="15.75" customHeight="1">
      <c r="B331" s="29"/>
    </row>
    <row r="332" ht="15.75" customHeight="1">
      <c r="B332" s="29"/>
    </row>
    <row r="333" ht="15.75" customHeight="1">
      <c r="B333" s="29"/>
    </row>
    <row r="334" ht="15.75" customHeight="1">
      <c r="B334" s="29"/>
    </row>
    <row r="335" ht="15.75" customHeight="1">
      <c r="B335" s="29"/>
    </row>
    <row r="336" ht="15.75" customHeight="1">
      <c r="B336" s="29"/>
    </row>
    <row r="337" ht="15.75" customHeight="1">
      <c r="B337" s="29"/>
    </row>
    <row r="338" ht="15.75" customHeight="1">
      <c r="B338" s="29"/>
    </row>
    <row r="339" ht="15.75" customHeight="1">
      <c r="B339" s="29"/>
    </row>
    <row r="340" ht="15.75" customHeight="1">
      <c r="B340" s="29"/>
    </row>
    <row r="341" ht="15.75" customHeight="1">
      <c r="B341" s="29"/>
    </row>
    <row r="342" ht="15.75" customHeight="1">
      <c r="B342" s="29"/>
    </row>
    <row r="343" ht="15.75" customHeight="1">
      <c r="B343" s="29"/>
    </row>
    <row r="344" ht="15.75" customHeight="1">
      <c r="B344" s="29"/>
    </row>
    <row r="345" ht="15.75" customHeight="1">
      <c r="B345" s="29"/>
    </row>
    <row r="346" ht="15.75" customHeight="1">
      <c r="B346" s="29"/>
    </row>
    <row r="347" ht="15.75" customHeight="1">
      <c r="B347" s="29"/>
    </row>
    <row r="348" ht="15.75" customHeight="1">
      <c r="B348" s="29"/>
    </row>
    <row r="349" ht="15.75" customHeight="1">
      <c r="B349" s="29"/>
    </row>
    <row r="350" ht="15.75" customHeight="1">
      <c r="B350" s="29"/>
    </row>
    <row r="351" ht="15.75" customHeight="1">
      <c r="B351" s="29"/>
    </row>
    <row r="352" ht="15.75" customHeight="1">
      <c r="B352" s="29"/>
    </row>
    <row r="353" ht="15.75" customHeight="1">
      <c r="B353" s="29"/>
    </row>
    <row r="354" ht="15.75" customHeight="1">
      <c r="B354" s="29"/>
    </row>
    <row r="355" ht="15.75" customHeight="1">
      <c r="B355" s="29"/>
    </row>
    <row r="356" ht="15.75" customHeight="1">
      <c r="B356" s="29"/>
    </row>
    <row r="357" ht="15.75" customHeight="1">
      <c r="B357" s="29"/>
    </row>
    <row r="358" ht="15.75" customHeight="1">
      <c r="B358" s="29"/>
    </row>
    <row r="359" ht="15.75" customHeight="1">
      <c r="B359" s="29"/>
    </row>
    <row r="360" ht="15.75" customHeight="1">
      <c r="B360" s="29"/>
    </row>
    <row r="361" ht="15.75" customHeight="1">
      <c r="B361" s="29"/>
    </row>
    <row r="362" ht="15.75" customHeight="1">
      <c r="B362" s="29"/>
    </row>
    <row r="363" ht="15.75" customHeight="1">
      <c r="B363" s="29"/>
    </row>
    <row r="364" ht="15.75" customHeight="1">
      <c r="B364" s="29"/>
    </row>
    <row r="365" ht="15.75" customHeight="1">
      <c r="B365" s="29"/>
    </row>
    <row r="366" ht="15.75" customHeight="1">
      <c r="B366" s="29"/>
    </row>
    <row r="367" ht="15.75" customHeight="1">
      <c r="B367" s="29"/>
    </row>
    <row r="368" ht="15.75" customHeight="1">
      <c r="B368" s="29"/>
    </row>
    <row r="369" ht="15.75" customHeight="1">
      <c r="B369" s="29"/>
    </row>
    <row r="370" ht="15.75" customHeight="1">
      <c r="B370" s="29"/>
    </row>
    <row r="371" ht="15.75" customHeight="1">
      <c r="B371" s="29"/>
    </row>
    <row r="372" ht="15.75" customHeight="1">
      <c r="B372" s="29"/>
    </row>
    <row r="373" ht="15.75" customHeight="1">
      <c r="B373" s="29"/>
    </row>
    <row r="374" ht="15.75" customHeight="1">
      <c r="B374" s="29"/>
    </row>
    <row r="375" ht="15.75" customHeight="1">
      <c r="B375" s="29"/>
    </row>
    <row r="376" ht="15.75" customHeight="1">
      <c r="B376" s="29"/>
    </row>
    <row r="377" ht="15.75" customHeight="1">
      <c r="B377" s="29"/>
    </row>
    <row r="378" ht="15.75" customHeight="1">
      <c r="B378" s="29"/>
    </row>
    <row r="379" ht="15.75" customHeight="1">
      <c r="B379" s="29"/>
    </row>
    <row r="380" ht="15.75" customHeight="1">
      <c r="B380" s="29"/>
    </row>
    <row r="381" ht="15.75" customHeight="1">
      <c r="B381" s="29"/>
    </row>
    <row r="382" ht="15.75" customHeight="1">
      <c r="B382" s="29"/>
    </row>
    <row r="383" ht="15.75" customHeight="1">
      <c r="B383" s="29"/>
    </row>
    <row r="384" ht="15.75" customHeight="1">
      <c r="B384" s="29"/>
    </row>
    <row r="385" ht="15.75" customHeight="1">
      <c r="B385" s="29"/>
    </row>
    <row r="386" ht="15.75" customHeight="1">
      <c r="B386" s="29"/>
    </row>
    <row r="387" ht="15.75" customHeight="1">
      <c r="B387" s="29"/>
    </row>
    <row r="388" ht="15.75" customHeight="1">
      <c r="B388" s="29"/>
    </row>
    <row r="389" ht="15.75" customHeight="1">
      <c r="B389" s="29"/>
    </row>
    <row r="390" ht="15.75" customHeight="1">
      <c r="B390" s="29"/>
    </row>
    <row r="391" ht="15.75" customHeight="1">
      <c r="B391" s="29"/>
    </row>
    <row r="392" ht="15.75" customHeight="1">
      <c r="B392" s="29"/>
    </row>
    <row r="393" ht="15.75" customHeight="1">
      <c r="B393" s="29"/>
    </row>
    <row r="394" ht="15.75" customHeight="1">
      <c r="B394" s="29"/>
    </row>
    <row r="395" ht="15.75" customHeight="1">
      <c r="B395" s="29"/>
    </row>
    <row r="396" ht="15.75" customHeight="1">
      <c r="B396" s="29"/>
    </row>
    <row r="397" ht="15.75" customHeight="1">
      <c r="B397" s="29"/>
    </row>
    <row r="398" ht="15.75" customHeight="1">
      <c r="B398" s="29"/>
    </row>
    <row r="399" ht="15.75" customHeight="1">
      <c r="B399" s="29"/>
    </row>
    <row r="400" ht="15.75" customHeight="1">
      <c r="B400" s="29"/>
    </row>
    <row r="401" ht="15.75" customHeight="1">
      <c r="B401" s="29"/>
    </row>
    <row r="402" ht="15.75" customHeight="1">
      <c r="B402" s="29"/>
    </row>
    <row r="403" ht="15.75" customHeight="1">
      <c r="B403" s="29"/>
    </row>
    <row r="404" ht="15.75" customHeight="1">
      <c r="B404" s="29"/>
    </row>
    <row r="405" ht="15.75" customHeight="1">
      <c r="B405" s="29"/>
    </row>
    <row r="406" ht="15.75" customHeight="1">
      <c r="B406" s="29"/>
    </row>
    <row r="407" ht="15.75" customHeight="1">
      <c r="B407" s="29"/>
    </row>
    <row r="408" ht="15.75" customHeight="1">
      <c r="B408" s="29"/>
    </row>
    <row r="409" ht="15.75" customHeight="1">
      <c r="B409" s="29"/>
    </row>
    <row r="410" ht="15.75" customHeight="1">
      <c r="B410" s="29"/>
    </row>
    <row r="411" ht="15.75" customHeight="1">
      <c r="B411" s="29"/>
    </row>
    <row r="412" ht="15.75" customHeight="1">
      <c r="B412" s="29"/>
    </row>
    <row r="413" ht="15.75" customHeight="1">
      <c r="B413" s="29"/>
    </row>
    <row r="414" ht="15.75" customHeight="1">
      <c r="B414" s="29"/>
    </row>
    <row r="415" ht="15.75" customHeight="1">
      <c r="B415" s="29"/>
    </row>
    <row r="416" ht="15.75" customHeight="1">
      <c r="B416" s="29"/>
    </row>
    <row r="417" ht="15.75" customHeight="1">
      <c r="B417" s="29"/>
    </row>
    <row r="418" ht="15.75" customHeight="1">
      <c r="B418" s="29"/>
    </row>
    <row r="419" ht="15.75" customHeight="1">
      <c r="B419" s="29"/>
    </row>
    <row r="420" ht="15.75" customHeight="1">
      <c r="B420" s="29"/>
    </row>
    <row r="421" ht="15.75" customHeight="1">
      <c r="B421" s="29"/>
    </row>
    <row r="422" ht="15.75" customHeight="1">
      <c r="B422" s="29"/>
    </row>
    <row r="423" ht="15.75" customHeight="1">
      <c r="B423" s="29"/>
    </row>
    <row r="424" ht="15.75" customHeight="1">
      <c r="B424" s="29"/>
    </row>
    <row r="425" ht="15.75" customHeight="1">
      <c r="B425" s="29"/>
    </row>
    <row r="426" ht="15.75" customHeight="1">
      <c r="B426" s="29"/>
    </row>
    <row r="427" ht="15.75" customHeight="1">
      <c r="B427" s="29"/>
    </row>
    <row r="428" ht="15.75" customHeight="1">
      <c r="B428" s="29"/>
    </row>
    <row r="429" ht="15.75" customHeight="1">
      <c r="B429" s="29"/>
    </row>
    <row r="430" ht="15.75" customHeight="1">
      <c r="B430" s="29"/>
    </row>
    <row r="431" ht="15.75" customHeight="1">
      <c r="B431" s="29"/>
    </row>
    <row r="432" ht="15.75" customHeight="1">
      <c r="B432" s="29"/>
    </row>
    <row r="433" ht="15.75" customHeight="1">
      <c r="B433" s="29"/>
    </row>
    <row r="434" ht="15.75" customHeight="1">
      <c r="B434" s="29"/>
    </row>
    <row r="435" ht="15.75" customHeight="1">
      <c r="B435" s="29"/>
    </row>
    <row r="436" ht="15.75" customHeight="1">
      <c r="B436" s="29"/>
    </row>
    <row r="437" ht="15.75" customHeight="1">
      <c r="B437" s="29"/>
    </row>
    <row r="438" ht="15.75" customHeight="1">
      <c r="B438" s="29"/>
    </row>
    <row r="439" ht="15.75" customHeight="1">
      <c r="B439" s="29"/>
    </row>
    <row r="440" ht="15.75" customHeight="1">
      <c r="B440" s="29"/>
    </row>
    <row r="441" ht="15.75" customHeight="1">
      <c r="B441" s="29"/>
    </row>
    <row r="442" ht="15.75" customHeight="1">
      <c r="B442" s="29"/>
    </row>
    <row r="443" ht="15.75" customHeight="1">
      <c r="B443" s="29"/>
    </row>
    <row r="444" ht="15.75" customHeight="1">
      <c r="B444" s="29"/>
    </row>
    <row r="445" ht="15.75" customHeight="1">
      <c r="B445" s="29"/>
    </row>
    <row r="446" ht="15.75" customHeight="1">
      <c r="B446" s="29"/>
    </row>
    <row r="447" ht="15.75" customHeight="1">
      <c r="B447" s="29"/>
    </row>
    <row r="448" ht="15.75" customHeight="1">
      <c r="B448" s="29"/>
    </row>
    <row r="449" ht="15.75" customHeight="1">
      <c r="B449" s="29"/>
    </row>
    <row r="450" ht="15.75" customHeight="1">
      <c r="B450" s="29"/>
    </row>
    <row r="451" ht="15.75" customHeight="1">
      <c r="B451" s="29"/>
    </row>
    <row r="452" ht="15.75" customHeight="1">
      <c r="B452" s="29"/>
    </row>
    <row r="453" ht="15.75" customHeight="1">
      <c r="B453" s="29"/>
    </row>
    <row r="454" ht="15.75" customHeight="1">
      <c r="B454" s="29"/>
    </row>
    <row r="455" ht="15.75" customHeight="1">
      <c r="B455" s="29"/>
    </row>
    <row r="456" ht="15.75" customHeight="1">
      <c r="B456" s="29"/>
    </row>
    <row r="457" ht="15.75" customHeight="1">
      <c r="B457" s="29"/>
    </row>
    <row r="458" ht="15.75" customHeight="1">
      <c r="B458" s="29"/>
    </row>
    <row r="459" ht="15.75" customHeight="1">
      <c r="B459" s="29"/>
    </row>
    <row r="460" ht="15.75" customHeight="1">
      <c r="B460" s="29"/>
    </row>
    <row r="461" ht="15.75" customHeight="1">
      <c r="B461" s="29"/>
    </row>
    <row r="462" ht="15.75" customHeight="1">
      <c r="B462" s="29"/>
    </row>
    <row r="463" ht="15.75" customHeight="1">
      <c r="B463" s="29"/>
    </row>
    <row r="464" ht="15.75" customHeight="1">
      <c r="B464" s="29"/>
    </row>
    <row r="465" ht="15.75" customHeight="1">
      <c r="B465" s="29"/>
    </row>
    <row r="466" ht="15.75" customHeight="1">
      <c r="B466" s="29"/>
    </row>
    <row r="467" ht="15.75" customHeight="1">
      <c r="B467" s="29"/>
    </row>
    <row r="468" ht="15.75" customHeight="1">
      <c r="B468" s="29"/>
    </row>
    <row r="469" ht="15.75" customHeight="1">
      <c r="B469" s="29"/>
    </row>
    <row r="470" ht="15.75" customHeight="1">
      <c r="B470" s="29"/>
    </row>
    <row r="471" ht="15.75" customHeight="1">
      <c r="B471" s="29"/>
    </row>
    <row r="472" ht="15.75" customHeight="1">
      <c r="B472" s="29"/>
    </row>
    <row r="473" ht="15.75" customHeight="1">
      <c r="B473" s="29"/>
    </row>
    <row r="474" ht="15.75" customHeight="1">
      <c r="B474" s="29"/>
    </row>
    <row r="475" ht="15.75" customHeight="1">
      <c r="B475" s="29"/>
    </row>
    <row r="476" ht="15.75" customHeight="1">
      <c r="B476" s="29"/>
    </row>
    <row r="477" ht="15.75" customHeight="1">
      <c r="B477" s="29"/>
    </row>
    <row r="478" ht="15.75" customHeight="1">
      <c r="B478" s="29"/>
    </row>
    <row r="479" ht="15.75" customHeight="1">
      <c r="B479" s="29"/>
    </row>
    <row r="480" ht="15.75" customHeight="1">
      <c r="B480" s="29"/>
    </row>
    <row r="481" ht="15.75" customHeight="1">
      <c r="B481" s="29"/>
    </row>
    <row r="482" ht="15.75" customHeight="1">
      <c r="B482" s="29"/>
    </row>
    <row r="483" ht="15.75" customHeight="1">
      <c r="B483" s="29"/>
    </row>
    <row r="484" ht="15.75" customHeight="1">
      <c r="B484" s="29"/>
    </row>
    <row r="485" ht="15.75" customHeight="1">
      <c r="B485" s="29"/>
    </row>
    <row r="486" ht="15.75" customHeight="1">
      <c r="B486" s="29"/>
    </row>
    <row r="487" ht="15.75" customHeight="1">
      <c r="B487" s="29"/>
    </row>
    <row r="488" ht="15.75" customHeight="1">
      <c r="B488" s="29"/>
    </row>
    <row r="489" ht="15.75" customHeight="1">
      <c r="B489" s="29"/>
    </row>
    <row r="490" ht="15.75" customHeight="1">
      <c r="B490" s="29"/>
    </row>
    <row r="491" ht="15.75" customHeight="1">
      <c r="B491" s="29"/>
    </row>
    <row r="492" ht="15.75" customHeight="1">
      <c r="B492" s="29"/>
    </row>
    <row r="493" ht="15.75" customHeight="1">
      <c r="B493" s="29"/>
    </row>
    <row r="494" ht="15.75" customHeight="1">
      <c r="B494" s="29"/>
    </row>
    <row r="495" ht="15.75" customHeight="1">
      <c r="B495" s="29"/>
    </row>
    <row r="496" ht="15.75" customHeight="1">
      <c r="B496" s="29"/>
    </row>
    <row r="497" ht="15.75" customHeight="1">
      <c r="B497" s="29"/>
    </row>
    <row r="498" ht="15.75" customHeight="1">
      <c r="B498" s="29"/>
    </row>
    <row r="499" ht="15.75" customHeight="1">
      <c r="B499" s="29"/>
    </row>
    <row r="500" ht="15.75" customHeight="1">
      <c r="B500" s="29"/>
    </row>
    <row r="501" ht="15.75" customHeight="1">
      <c r="B501" s="29"/>
    </row>
    <row r="502" ht="15.75" customHeight="1">
      <c r="B502" s="29"/>
    </row>
    <row r="503" ht="15.75" customHeight="1">
      <c r="B503" s="29"/>
    </row>
    <row r="504" ht="15.75" customHeight="1">
      <c r="B504" s="29"/>
    </row>
    <row r="505" ht="15.75" customHeight="1">
      <c r="B505" s="29"/>
    </row>
    <row r="506" ht="15.75" customHeight="1">
      <c r="B506" s="29"/>
    </row>
    <row r="507" ht="15.75" customHeight="1">
      <c r="B507" s="29"/>
    </row>
    <row r="508" ht="15.75" customHeight="1">
      <c r="B508" s="29"/>
    </row>
    <row r="509" ht="15.75" customHeight="1">
      <c r="B509" s="29"/>
    </row>
    <row r="510" ht="15.75" customHeight="1">
      <c r="B510" s="29"/>
    </row>
    <row r="511" ht="15.75" customHeight="1">
      <c r="B511" s="29"/>
    </row>
    <row r="512" ht="15.75" customHeight="1">
      <c r="B512" s="29"/>
    </row>
    <row r="513" ht="15.75" customHeight="1">
      <c r="B513" s="29"/>
    </row>
    <row r="514" ht="15.75" customHeight="1">
      <c r="B514" s="29"/>
    </row>
    <row r="515" ht="15.75" customHeight="1">
      <c r="B515" s="29"/>
    </row>
    <row r="516" ht="15.75" customHeight="1">
      <c r="B516" s="29"/>
    </row>
    <row r="517" ht="15.75" customHeight="1">
      <c r="B517" s="29"/>
    </row>
    <row r="518" ht="15.75" customHeight="1">
      <c r="B518" s="29"/>
    </row>
    <row r="519" ht="15.75" customHeight="1">
      <c r="B519" s="29"/>
    </row>
    <row r="520" ht="15.75" customHeight="1">
      <c r="B520" s="29"/>
    </row>
    <row r="521" ht="15.75" customHeight="1">
      <c r="B521" s="29"/>
    </row>
    <row r="522" ht="15.75" customHeight="1">
      <c r="B522" s="29"/>
    </row>
    <row r="523" ht="15.75" customHeight="1">
      <c r="B523" s="29"/>
    </row>
    <row r="524" ht="15.75" customHeight="1">
      <c r="B524" s="29"/>
    </row>
    <row r="525" ht="15.75" customHeight="1">
      <c r="B525" s="29"/>
    </row>
    <row r="526" ht="15.75" customHeight="1">
      <c r="B526" s="29"/>
    </row>
    <row r="527" ht="15.75" customHeight="1">
      <c r="B527" s="29"/>
    </row>
    <row r="528" ht="15.75" customHeight="1">
      <c r="B528" s="29"/>
    </row>
    <row r="529" ht="15.75" customHeight="1">
      <c r="B529" s="29"/>
    </row>
    <row r="530" ht="15.75" customHeight="1">
      <c r="B530" s="29"/>
    </row>
    <row r="531" ht="15.75" customHeight="1">
      <c r="B531" s="29"/>
    </row>
    <row r="532" ht="15.75" customHeight="1">
      <c r="B532" s="29"/>
    </row>
    <row r="533" ht="15.75" customHeight="1">
      <c r="B533" s="29"/>
    </row>
    <row r="534" ht="15.75" customHeight="1">
      <c r="B534" s="29"/>
    </row>
    <row r="535" ht="15.75" customHeight="1">
      <c r="B535" s="29"/>
    </row>
    <row r="536" ht="15.75" customHeight="1">
      <c r="B536" s="29"/>
    </row>
    <row r="537" ht="15.75" customHeight="1">
      <c r="B537" s="29"/>
    </row>
    <row r="538" ht="15.75" customHeight="1">
      <c r="B538" s="29"/>
    </row>
    <row r="539" ht="15.75" customHeight="1">
      <c r="B539" s="29"/>
    </row>
    <row r="540" ht="15.75" customHeight="1">
      <c r="B540" s="29"/>
    </row>
    <row r="541" ht="15.75" customHeight="1">
      <c r="B541" s="29"/>
    </row>
    <row r="542" ht="15.75" customHeight="1">
      <c r="B542" s="29"/>
    </row>
    <row r="543" ht="15.75" customHeight="1">
      <c r="B543" s="29"/>
    </row>
    <row r="544" ht="15.75" customHeight="1">
      <c r="B544" s="29"/>
    </row>
    <row r="545" ht="15.75" customHeight="1">
      <c r="B545" s="29"/>
    </row>
    <row r="546" ht="15.75" customHeight="1">
      <c r="B546" s="29"/>
    </row>
    <row r="547" ht="15.75" customHeight="1">
      <c r="B547" s="29"/>
    </row>
    <row r="548" ht="15.75" customHeight="1">
      <c r="B548" s="29"/>
    </row>
    <row r="549" ht="15.75" customHeight="1">
      <c r="B549" s="29"/>
    </row>
    <row r="550" ht="15.75" customHeight="1">
      <c r="B550" s="29"/>
    </row>
    <row r="551" ht="15.75" customHeight="1">
      <c r="B551" s="29"/>
    </row>
    <row r="552" ht="15.75" customHeight="1">
      <c r="B552" s="29"/>
    </row>
    <row r="553" ht="15.75" customHeight="1">
      <c r="B553" s="29"/>
    </row>
    <row r="554" ht="15.75" customHeight="1">
      <c r="B554" s="29"/>
    </row>
    <row r="555" ht="15.75" customHeight="1">
      <c r="B555" s="29"/>
    </row>
    <row r="556" ht="15.75" customHeight="1">
      <c r="B556" s="29"/>
    </row>
    <row r="557" ht="15.75" customHeight="1">
      <c r="B557" s="29"/>
    </row>
    <row r="558" ht="15.75" customHeight="1">
      <c r="B558" s="29"/>
    </row>
    <row r="559" ht="15.75" customHeight="1">
      <c r="B559" s="29"/>
    </row>
    <row r="560" ht="15.75" customHeight="1">
      <c r="B560" s="29"/>
    </row>
    <row r="561" ht="15.75" customHeight="1">
      <c r="B561" s="29"/>
    </row>
    <row r="562" ht="15.75" customHeight="1">
      <c r="B562" s="29"/>
    </row>
    <row r="563" ht="15.75" customHeight="1">
      <c r="B563" s="29"/>
    </row>
    <row r="564" ht="15.75" customHeight="1">
      <c r="B564" s="29"/>
    </row>
    <row r="565" ht="15.75" customHeight="1">
      <c r="B565" s="29"/>
    </row>
    <row r="566" ht="15.75" customHeight="1">
      <c r="B566" s="29"/>
    </row>
    <row r="567" ht="15.75" customHeight="1">
      <c r="B567" s="29"/>
    </row>
    <row r="568" ht="15.75" customHeight="1">
      <c r="B568" s="29"/>
    </row>
    <row r="569" ht="15.75" customHeight="1">
      <c r="B569" s="29"/>
    </row>
    <row r="570" ht="15.75" customHeight="1">
      <c r="B570" s="29"/>
    </row>
    <row r="571" ht="15.75" customHeight="1">
      <c r="B571" s="29"/>
    </row>
    <row r="572" ht="15.75" customHeight="1">
      <c r="B572" s="29"/>
    </row>
    <row r="573" ht="15.75" customHeight="1">
      <c r="B573" s="29"/>
    </row>
    <row r="574" ht="15.75" customHeight="1">
      <c r="B574" s="29"/>
    </row>
    <row r="575" ht="15.75" customHeight="1">
      <c r="B575" s="29"/>
    </row>
    <row r="576" ht="15.75" customHeight="1">
      <c r="B576" s="29"/>
    </row>
    <row r="577" ht="15.75" customHeight="1">
      <c r="B577" s="29"/>
    </row>
    <row r="578" ht="15.75" customHeight="1">
      <c r="B578" s="29"/>
    </row>
    <row r="579" ht="15.75" customHeight="1">
      <c r="B579" s="29"/>
    </row>
    <row r="580" ht="15.75" customHeight="1">
      <c r="B580" s="29"/>
    </row>
    <row r="581" ht="15.75" customHeight="1">
      <c r="B581" s="29"/>
    </row>
    <row r="582" ht="15.75" customHeight="1">
      <c r="B582" s="29"/>
    </row>
    <row r="583" ht="15.75" customHeight="1">
      <c r="B583" s="29"/>
    </row>
    <row r="584" ht="15.75" customHeight="1">
      <c r="B584" s="29"/>
    </row>
    <row r="585" ht="15.75" customHeight="1">
      <c r="B585" s="29"/>
    </row>
    <row r="586" ht="15.75" customHeight="1">
      <c r="B586" s="29"/>
    </row>
    <row r="587" ht="15.75" customHeight="1">
      <c r="B587" s="29"/>
    </row>
    <row r="588" ht="15.75" customHeight="1">
      <c r="B588" s="29"/>
    </row>
    <row r="589" ht="15.75" customHeight="1">
      <c r="B589" s="29"/>
    </row>
    <row r="590" ht="15.75" customHeight="1">
      <c r="B590" s="29"/>
    </row>
    <row r="591" ht="15.75" customHeight="1">
      <c r="B591" s="29"/>
    </row>
    <row r="592" ht="15.75" customHeight="1">
      <c r="B592" s="29"/>
    </row>
    <row r="593" ht="15.75" customHeight="1">
      <c r="B593" s="29"/>
    </row>
    <row r="594" ht="15.75" customHeight="1">
      <c r="B594" s="29"/>
    </row>
    <row r="595" ht="15.75" customHeight="1">
      <c r="B595" s="29"/>
    </row>
    <row r="596" ht="15.75" customHeight="1">
      <c r="B596" s="29"/>
    </row>
    <row r="597" ht="15.75" customHeight="1">
      <c r="B597" s="29"/>
    </row>
    <row r="598" ht="15.75" customHeight="1">
      <c r="B598" s="29"/>
    </row>
    <row r="599" ht="15.75" customHeight="1">
      <c r="B599" s="29"/>
    </row>
    <row r="600" ht="15.75" customHeight="1">
      <c r="B600" s="29"/>
    </row>
    <row r="601" ht="15.75" customHeight="1">
      <c r="B601" s="29"/>
    </row>
    <row r="602" ht="15.75" customHeight="1">
      <c r="B602" s="29"/>
    </row>
    <row r="603" ht="15.75" customHeight="1">
      <c r="B603" s="29"/>
    </row>
    <row r="604" ht="15.75" customHeight="1">
      <c r="B604" s="29"/>
    </row>
    <row r="605" ht="15.75" customHeight="1">
      <c r="B605" s="29"/>
    </row>
    <row r="606" ht="15.75" customHeight="1">
      <c r="B606" s="29"/>
    </row>
    <row r="607" ht="15.75" customHeight="1">
      <c r="B607" s="29"/>
    </row>
    <row r="608" ht="15.75" customHeight="1">
      <c r="B608" s="29"/>
    </row>
    <row r="609" ht="15.75" customHeight="1">
      <c r="B609" s="29"/>
    </row>
    <row r="610" ht="15.75" customHeight="1">
      <c r="B610" s="29"/>
    </row>
    <row r="611" ht="15.75" customHeight="1">
      <c r="B611" s="29"/>
    </row>
    <row r="612" ht="15.75" customHeight="1">
      <c r="B612" s="29"/>
    </row>
    <row r="613" ht="15.75" customHeight="1">
      <c r="B613" s="29"/>
    </row>
    <row r="614" ht="15.75" customHeight="1">
      <c r="B614" s="29"/>
    </row>
    <row r="615" ht="15.75" customHeight="1">
      <c r="B615" s="29"/>
    </row>
    <row r="616" ht="15.75" customHeight="1">
      <c r="B616" s="29"/>
    </row>
    <row r="617" ht="15.75" customHeight="1">
      <c r="B617" s="29"/>
    </row>
    <row r="618" ht="15.75" customHeight="1">
      <c r="B618" s="29"/>
    </row>
    <row r="619" ht="15.75" customHeight="1">
      <c r="B619" s="29"/>
    </row>
    <row r="620" ht="15.75" customHeight="1">
      <c r="B620" s="29"/>
    </row>
    <row r="621" ht="15.75" customHeight="1">
      <c r="B621" s="29"/>
    </row>
    <row r="622" ht="15.75" customHeight="1">
      <c r="B622" s="29"/>
    </row>
    <row r="623" ht="15.75" customHeight="1">
      <c r="B623" s="29"/>
    </row>
    <row r="624" ht="15.75" customHeight="1">
      <c r="B624" s="29"/>
    </row>
    <row r="625" ht="15.75" customHeight="1">
      <c r="B625" s="29"/>
    </row>
    <row r="626" ht="15.75" customHeight="1">
      <c r="B626" s="29"/>
    </row>
    <row r="627" ht="15.75" customHeight="1">
      <c r="B627" s="29"/>
    </row>
    <row r="628" ht="15.75" customHeight="1">
      <c r="B628" s="29"/>
    </row>
    <row r="629" ht="15.75" customHeight="1">
      <c r="B629" s="29"/>
    </row>
    <row r="630" ht="15.75" customHeight="1">
      <c r="B630" s="29"/>
    </row>
    <row r="631" ht="15.75" customHeight="1">
      <c r="B631" s="29"/>
    </row>
    <row r="632" ht="15.75" customHeight="1">
      <c r="B632" s="29"/>
    </row>
    <row r="633" ht="15.75" customHeight="1">
      <c r="B633" s="29"/>
    </row>
    <row r="634" ht="15.75" customHeight="1">
      <c r="B634" s="29"/>
    </row>
    <row r="635" ht="15.75" customHeight="1">
      <c r="B635" s="29"/>
    </row>
    <row r="636" ht="15.75" customHeight="1">
      <c r="B636" s="29"/>
    </row>
    <row r="637" ht="15.75" customHeight="1">
      <c r="B637" s="29"/>
    </row>
    <row r="638" ht="15.75" customHeight="1">
      <c r="B638" s="29"/>
    </row>
    <row r="639" ht="15.75" customHeight="1">
      <c r="B639" s="29"/>
    </row>
    <row r="640" ht="15.75" customHeight="1">
      <c r="B640" s="29"/>
    </row>
    <row r="641" ht="15.75" customHeight="1">
      <c r="B641" s="29"/>
    </row>
    <row r="642" ht="15.75" customHeight="1">
      <c r="B642" s="29"/>
    </row>
    <row r="643" ht="15.75" customHeight="1">
      <c r="B643" s="29"/>
    </row>
    <row r="644" ht="15.75" customHeight="1">
      <c r="B644" s="29"/>
    </row>
    <row r="645" ht="15.75" customHeight="1">
      <c r="B645" s="29"/>
    </row>
    <row r="646" ht="15.75" customHeight="1">
      <c r="B646" s="29"/>
    </row>
    <row r="647" ht="15.75" customHeight="1">
      <c r="B647" s="29"/>
    </row>
    <row r="648" ht="15.75" customHeight="1">
      <c r="B648" s="29"/>
    </row>
    <row r="649" ht="15.75" customHeight="1">
      <c r="B649" s="29"/>
    </row>
    <row r="650" ht="15.75" customHeight="1">
      <c r="B650" s="29"/>
    </row>
    <row r="651" ht="15.75" customHeight="1">
      <c r="B651" s="29"/>
    </row>
    <row r="652" ht="15.75" customHeight="1">
      <c r="B652" s="29"/>
    </row>
    <row r="653" ht="15.75" customHeight="1">
      <c r="B653" s="29"/>
    </row>
    <row r="654" ht="15.75" customHeight="1">
      <c r="B654" s="29"/>
    </row>
    <row r="655" ht="15.75" customHeight="1">
      <c r="B655" s="29"/>
    </row>
    <row r="656" ht="15.75" customHeight="1">
      <c r="B656" s="29"/>
    </row>
    <row r="657" ht="15.75" customHeight="1">
      <c r="B657" s="29"/>
    </row>
    <row r="658" ht="15.75" customHeight="1">
      <c r="B658" s="29"/>
    </row>
    <row r="659" ht="15.75" customHeight="1">
      <c r="B659" s="29"/>
    </row>
    <row r="660" ht="15.75" customHeight="1">
      <c r="B660" s="29"/>
    </row>
    <row r="661" ht="15.75" customHeight="1">
      <c r="B661" s="29"/>
    </row>
    <row r="662" ht="15.75" customHeight="1">
      <c r="B662" s="29"/>
    </row>
    <row r="663" ht="15.75" customHeight="1">
      <c r="B663" s="29"/>
    </row>
    <row r="664" ht="15.75" customHeight="1">
      <c r="B664" s="29"/>
    </row>
    <row r="665" ht="15.75" customHeight="1">
      <c r="B665" s="29"/>
    </row>
    <row r="666" ht="15.75" customHeight="1">
      <c r="B666" s="29"/>
    </row>
    <row r="667" ht="15.75" customHeight="1">
      <c r="B667" s="29"/>
    </row>
    <row r="668" ht="15.75" customHeight="1">
      <c r="B668" s="29"/>
    </row>
    <row r="669" ht="15.75" customHeight="1">
      <c r="B669" s="29"/>
    </row>
    <row r="670" ht="15.75" customHeight="1">
      <c r="B670" s="29"/>
    </row>
    <row r="671" ht="15.75" customHeight="1">
      <c r="B671" s="29"/>
    </row>
    <row r="672" ht="15.75" customHeight="1">
      <c r="B672" s="29"/>
    </row>
    <row r="673" ht="15.75" customHeight="1">
      <c r="B673" s="29"/>
    </row>
    <row r="674" ht="15.75" customHeight="1">
      <c r="B674" s="29"/>
    </row>
    <row r="675" ht="15.75" customHeight="1">
      <c r="B675" s="29"/>
    </row>
    <row r="676" ht="15.75" customHeight="1">
      <c r="B676" s="29"/>
    </row>
    <row r="677" ht="15.75" customHeight="1">
      <c r="B677" s="29"/>
    </row>
    <row r="678" ht="15.75" customHeight="1">
      <c r="B678" s="29"/>
    </row>
    <row r="679" ht="15.75" customHeight="1">
      <c r="B679" s="29"/>
    </row>
    <row r="680" ht="15.75" customHeight="1">
      <c r="B680" s="29"/>
    </row>
    <row r="681" ht="15.75" customHeight="1">
      <c r="B681" s="29"/>
    </row>
    <row r="682" ht="15.75" customHeight="1">
      <c r="B682" s="29"/>
    </row>
    <row r="683" ht="15.75" customHeight="1">
      <c r="B683" s="29"/>
    </row>
    <row r="684" ht="15.75" customHeight="1">
      <c r="B684" s="29"/>
    </row>
    <row r="685" ht="15.75" customHeight="1">
      <c r="B685" s="29"/>
    </row>
    <row r="686" ht="15.75" customHeight="1">
      <c r="B686" s="29"/>
    </row>
    <row r="687" ht="15.75" customHeight="1">
      <c r="B687" s="29"/>
    </row>
    <row r="688" ht="15.75" customHeight="1">
      <c r="B688" s="29"/>
    </row>
    <row r="689" ht="15.75" customHeight="1">
      <c r="B689" s="29"/>
    </row>
    <row r="690" ht="15.75" customHeight="1">
      <c r="B690" s="29"/>
    </row>
    <row r="691" ht="15.75" customHeight="1">
      <c r="B691" s="29"/>
    </row>
    <row r="692" ht="15.75" customHeight="1">
      <c r="B692" s="29"/>
    </row>
    <row r="693" ht="15.75" customHeight="1">
      <c r="B693" s="29"/>
    </row>
    <row r="694" ht="15.75" customHeight="1">
      <c r="B694" s="29"/>
    </row>
    <row r="695" ht="15.75" customHeight="1">
      <c r="B695" s="29"/>
    </row>
    <row r="696" ht="15.75" customHeight="1">
      <c r="B696" s="29"/>
    </row>
    <row r="697" ht="15.75" customHeight="1">
      <c r="B697" s="29"/>
    </row>
    <row r="698" ht="15.75" customHeight="1">
      <c r="B698" s="29"/>
    </row>
    <row r="699" ht="15.75" customHeight="1">
      <c r="B699" s="29"/>
    </row>
    <row r="700" ht="15.75" customHeight="1">
      <c r="B700" s="29"/>
    </row>
    <row r="701" ht="15.75" customHeight="1">
      <c r="B701" s="29"/>
    </row>
    <row r="702" ht="15.75" customHeight="1">
      <c r="B702" s="29"/>
    </row>
    <row r="703" ht="15.75" customHeight="1">
      <c r="B703" s="29"/>
    </row>
    <row r="704" ht="15.75" customHeight="1">
      <c r="B704" s="29"/>
    </row>
    <row r="705" ht="15.75" customHeight="1">
      <c r="B705" s="29"/>
    </row>
    <row r="706" ht="15.75" customHeight="1">
      <c r="B706" s="29"/>
    </row>
    <row r="707" ht="15.75" customHeight="1">
      <c r="B707" s="29"/>
    </row>
    <row r="708" ht="15.75" customHeight="1">
      <c r="B708" s="29"/>
    </row>
    <row r="709" ht="15.75" customHeight="1">
      <c r="B709" s="29"/>
    </row>
    <row r="710" ht="15.75" customHeight="1">
      <c r="B710" s="29"/>
    </row>
    <row r="711" ht="15.75" customHeight="1">
      <c r="B711" s="29"/>
    </row>
    <row r="712" ht="15.75" customHeight="1">
      <c r="B712" s="29"/>
    </row>
    <row r="713" ht="15.75" customHeight="1">
      <c r="B713" s="29"/>
    </row>
    <row r="714" ht="15.75" customHeight="1">
      <c r="B714" s="29"/>
    </row>
    <row r="715" ht="15.75" customHeight="1">
      <c r="B715" s="29"/>
    </row>
    <row r="716" ht="15.75" customHeight="1">
      <c r="B716" s="29"/>
    </row>
    <row r="717" ht="15.75" customHeight="1">
      <c r="B717" s="29"/>
    </row>
    <row r="718" ht="15.75" customHeight="1">
      <c r="B718" s="29"/>
    </row>
    <row r="719" ht="15.75" customHeight="1">
      <c r="B719" s="29"/>
    </row>
    <row r="720" ht="15.75" customHeight="1">
      <c r="B720" s="29"/>
    </row>
    <row r="721" ht="15.75" customHeight="1">
      <c r="B721" s="29"/>
    </row>
    <row r="722" ht="15.75" customHeight="1">
      <c r="B722" s="29"/>
    </row>
    <row r="723" ht="15.75" customHeight="1">
      <c r="B723" s="29"/>
    </row>
    <row r="724" ht="15.75" customHeight="1">
      <c r="B724" s="29"/>
    </row>
    <row r="725" ht="15.75" customHeight="1">
      <c r="B725" s="29"/>
    </row>
    <row r="726" ht="15.75" customHeight="1">
      <c r="B726" s="29"/>
    </row>
    <row r="727" ht="15.75" customHeight="1">
      <c r="B727" s="29"/>
    </row>
    <row r="728" ht="15.75" customHeight="1">
      <c r="B728" s="29"/>
    </row>
    <row r="729" ht="15.75" customHeight="1">
      <c r="B729" s="29"/>
    </row>
    <row r="730" ht="15.75" customHeight="1">
      <c r="B730" s="29"/>
    </row>
    <row r="731" ht="15.75" customHeight="1">
      <c r="B731" s="29"/>
    </row>
    <row r="732" ht="15.75" customHeight="1">
      <c r="B732" s="29"/>
    </row>
    <row r="733" ht="15.75" customHeight="1">
      <c r="B733" s="29"/>
    </row>
    <row r="734" ht="15.75" customHeight="1">
      <c r="B734" s="29"/>
    </row>
    <row r="735" ht="15.75" customHeight="1">
      <c r="B735" s="29"/>
    </row>
    <row r="736" ht="15.75" customHeight="1">
      <c r="B736" s="29"/>
    </row>
    <row r="737" ht="15.75" customHeight="1">
      <c r="B737" s="29"/>
    </row>
    <row r="738" ht="15.75" customHeight="1">
      <c r="B738" s="29"/>
    </row>
    <row r="739" ht="15.75" customHeight="1">
      <c r="B739" s="29"/>
    </row>
    <row r="740" ht="15.75" customHeight="1">
      <c r="B740" s="29"/>
    </row>
    <row r="741" ht="15.75" customHeight="1">
      <c r="B741" s="29"/>
    </row>
    <row r="742" ht="15.75" customHeight="1">
      <c r="B742" s="29"/>
    </row>
    <row r="743" ht="15.75" customHeight="1">
      <c r="B743" s="29"/>
    </row>
    <row r="744" ht="15.75" customHeight="1">
      <c r="B744" s="29"/>
    </row>
    <row r="745" ht="15.75" customHeight="1">
      <c r="B745" s="29"/>
    </row>
    <row r="746" ht="15.75" customHeight="1">
      <c r="B746" s="29"/>
    </row>
    <row r="747" ht="15.75" customHeight="1">
      <c r="B747" s="29"/>
    </row>
    <row r="748" ht="15.75" customHeight="1">
      <c r="B748" s="29"/>
    </row>
    <row r="749" ht="15.75" customHeight="1">
      <c r="B749" s="29"/>
    </row>
    <row r="750" ht="15.75" customHeight="1">
      <c r="B750" s="29"/>
    </row>
    <row r="751" ht="15.75" customHeight="1">
      <c r="B751" s="29"/>
    </row>
    <row r="752" ht="15.75" customHeight="1">
      <c r="B752" s="29"/>
    </row>
    <row r="753" ht="15.75" customHeight="1">
      <c r="B753" s="29"/>
    </row>
    <row r="754" ht="15.75" customHeight="1">
      <c r="B754" s="29"/>
    </row>
    <row r="755" ht="15.75" customHeight="1">
      <c r="B755" s="29"/>
    </row>
    <row r="756" ht="15.75" customHeight="1">
      <c r="B756" s="29"/>
    </row>
    <row r="757" ht="15.75" customHeight="1">
      <c r="B757" s="29"/>
    </row>
    <row r="758" ht="15.75" customHeight="1">
      <c r="B758" s="29"/>
    </row>
    <row r="759" ht="15.75" customHeight="1">
      <c r="B759" s="29"/>
    </row>
    <row r="760" ht="15.75" customHeight="1">
      <c r="B760" s="29"/>
    </row>
    <row r="761" ht="15.75" customHeight="1">
      <c r="B761" s="29"/>
    </row>
    <row r="762" ht="15.75" customHeight="1">
      <c r="B762" s="29"/>
    </row>
    <row r="763" ht="15.75" customHeight="1">
      <c r="B763" s="29"/>
    </row>
    <row r="764" ht="15.75" customHeight="1">
      <c r="B764" s="29"/>
    </row>
    <row r="765" ht="15.75" customHeight="1">
      <c r="B765" s="29"/>
    </row>
    <row r="766" ht="15.75" customHeight="1">
      <c r="B766" s="29"/>
    </row>
    <row r="767" ht="15.75" customHeight="1">
      <c r="B767" s="29"/>
    </row>
    <row r="768" ht="15.75" customHeight="1">
      <c r="B768" s="29"/>
    </row>
    <row r="769" ht="15.75" customHeight="1">
      <c r="B769" s="29"/>
    </row>
    <row r="770" ht="15.75" customHeight="1">
      <c r="B770" s="29"/>
    </row>
    <row r="771" ht="15.75" customHeight="1">
      <c r="B771" s="29"/>
    </row>
    <row r="772" ht="15.75" customHeight="1">
      <c r="B772" s="29"/>
    </row>
    <row r="773" ht="15.75" customHeight="1">
      <c r="B773" s="29"/>
    </row>
    <row r="774" ht="15.75" customHeight="1">
      <c r="B774" s="29"/>
    </row>
    <row r="775" ht="15.75" customHeight="1">
      <c r="B775" s="29"/>
    </row>
    <row r="776" ht="15.75" customHeight="1">
      <c r="B776" s="29"/>
    </row>
    <row r="777" ht="15.75" customHeight="1">
      <c r="B777" s="29"/>
    </row>
    <row r="778" ht="15.75" customHeight="1">
      <c r="B778" s="29"/>
    </row>
    <row r="779" ht="15.75" customHeight="1">
      <c r="B779" s="29"/>
    </row>
    <row r="780" ht="15.75" customHeight="1">
      <c r="B780" s="29"/>
    </row>
    <row r="781" ht="15.75" customHeight="1">
      <c r="B781" s="29"/>
    </row>
    <row r="782" ht="15.75" customHeight="1">
      <c r="B782" s="29"/>
    </row>
    <row r="783" ht="15.75" customHeight="1">
      <c r="B783" s="29"/>
    </row>
    <row r="784" ht="15.75" customHeight="1">
      <c r="B784" s="29"/>
    </row>
    <row r="785" ht="15.75" customHeight="1">
      <c r="B785" s="29"/>
    </row>
    <row r="786" ht="15.75" customHeight="1">
      <c r="B786" s="29"/>
    </row>
    <row r="787" ht="15.75" customHeight="1">
      <c r="B787" s="29"/>
    </row>
    <row r="788" ht="15.75" customHeight="1">
      <c r="B788" s="29"/>
    </row>
    <row r="789" ht="15.75" customHeight="1">
      <c r="B789" s="29"/>
    </row>
    <row r="790" ht="15.75" customHeight="1">
      <c r="B790" s="29"/>
    </row>
    <row r="791" ht="15.75" customHeight="1">
      <c r="B791" s="29"/>
    </row>
    <row r="792" ht="15.75" customHeight="1">
      <c r="B792" s="29"/>
    </row>
    <row r="793" ht="15.75" customHeight="1">
      <c r="B793" s="29"/>
    </row>
    <row r="794" ht="15.75" customHeight="1">
      <c r="B794" s="29"/>
    </row>
    <row r="795" ht="15.75" customHeight="1">
      <c r="B795" s="29"/>
    </row>
    <row r="796" ht="15.75" customHeight="1">
      <c r="B796" s="29"/>
    </row>
    <row r="797" ht="15.75" customHeight="1">
      <c r="B797" s="29"/>
    </row>
    <row r="798" ht="15.75" customHeight="1">
      <c r="B798" s="29"/>
    </row>
    <row r="799" ht="15.75" customHeight="1">
      <c r="B799" s="29"/>
    </row>
    <row r="800" ht="15.75" customHeight="1">
      <c r="B800" s="29"/>
    </row>
    <row r="801" ht="15.75" customHeight="1">
      <c r="B801" s="29"/>
    </row>
    <row r="802" ht="15.75" customHeight="1">
      <c r="B802" s="29"/>
    </row>
    <row r="803" ht="15.75" customHeight="1">
      <c r="B803" s="29"/>
    </row>
    <row r="804" ht="15.75" customHeight="1">
      <c r="B804" s="29"/>
    </row>
    <row r="805" ht="15.75" customHeight="1">
      <c r="B805" s="29"/>
    </row>
    <row r="806" ht="15.75" customHeight="1">
      <c r="B806" s="29"/>
    </row>
    <row r="807" ht="15.75" customHeight="1">
      <c r="B807" s="29"/>
    </row>
    <row r="808" ht="15.75" customHeight="1">
      <c r="B808" s="29"/>
    </row>
    <row r="809" ht="15.75" customHeight="1">
      <c r="B809" s="29"/>
    </row>
    <row r="810" ht="15.75" customHeight="1">
      <c r="B810" s="29"/>
    </row>
    <row r="811" ht="15.75" customHeight="1">
      <c r="B811" s="29"/>
    </row>
    <row r="812" ht="15.75" customHeight="1">
      <c r="B812" s="29"/>
    </row>
    <row r="813" ht="15.75" customHeight="1">
      <c r="B813" s="29"/>
    </row>
    <row r="814" ht="15.75" customHeight="1">
      <c r="B814" s="29"/>
    </row>
    <row r="815" ht="15.75" customHeight="1">
      <c r="B815" s="29"/>
    </row>
    <row r="816" ht="15.75" customHeight="1">
      <c r="B816" s="29"/>
    </row>
    <row r="817" ht="15.75" customHeight="1">
      <c r="B817" s="29"/>
    </row>
    <row r="818" ht="15.75" customHeight="1">
      <c r="B818" s="29"/>
    </row>
    <row r="819" ht="15.75" customHeight="1">
      <c r="B819" s="29"/>
    </row>
    <row r="820" ht="15.75" customHeight="1">
      <c r="B820" s="29"/>
    </row>
    <row r="821" ht="15.75" customHeight="1">
      <c r="B821" s="29"/>
    </row>
    <row r="822" ht="15.75" customHeight="1">
      <c r="B822" s="29"/>
    </row>
    <row r="823" ht="15.75" customHeight="1">
      <c r="B823" s="29"/>
    </row>
    <row r="824" ht="15.75" customHeight="1">
      <c r="B824" s="29"/>
    </row>
    <row r="825" ht="15.75" customHeight="1">
      <c r="B825" s="29"/>
    </row>
    <row r="826" ht="15.75" customHeight="1">
      <c r="B826" s="29"/>
    </row>
    <row r="827" ht="15.75" customHeight="1">
      <c r="B827" s="29"/>
    </row>
    <row r="828" ht="15.75" customHeight="1">
      <c r="B828" s="29"/>
    </row>
    <row r="829" ht="15.75" customHeight="1">
      <c r="B829" s="29"/>
    </row>
    <row r="830" ht="15.75" customHeight="1">
      <c r="B830" s="29"/>
    </row>
    <row r="831" ht="15.75" customHeight="1">
      <c r="B831" s="29"/>
    </row>
    <row r="832" ht="15.75" customHeight="1">
      <c r="B832" s="29"/>
    </row>
    <row r="833" ht="15.75" customHeight="1">
      <c r="B833" s="29"/>
    </row>
    <row r="834" ht="15.75" customHeight="1">
      <c r="B834" s="29"/>
    </row>
    <row r="835" ht="15.75" customHeight="1">
      <c r="B835" s="29"/>
    </row>
    <row r="836" ht="15.75" customHeight="1">
      <c r="B836" s="29"/>
    </row>
    <row r="837" ht="15.75" customHeight="1">
      <c r="B837" s="29"/>
    </row>
    <row r="838" ht="15.75" customHeight="1">
      <c r="B838" s="29"/>
    </row>
    <row r="839" ht="15.75" customHeight="1">
      <c r="B839" s="29"/>
    </row>
    <row r="840" ht="15.75" customHeight="1">
      <c r="B840" s="29"/>
    </row>
    <row r="841" ht="15.75" customHeight="1">
      <c r="B841" s="29"/>
    </row>
    <row r="842" ht="15.75" customHeight="1">
      <c r="B842" s="29"/>
    </row>
    <row r="843" ht="15.75" customHeight="1">
      <c r="B843" s="29"/>
    </row>
    <row r="844" ht="15.75" customHeight="1">
      <c r="B844" s="29"/>
    </row>
    <row r="845" ht="15.75" customHeight="1">
      <c r="B845" s="29"/>
    </row>
    <row r="846" ht="15.75" customHeight="1">
      <c r="B846" s="29"/>
    </row>
    <row r="847" ht="15.75" customHeight="1">
      <c r="B847" s="29"/>
    </row>
    <row r="848" ht="15.75" customHeight="1">
      <c r="B848" s="29"/>
    </row>
    <row r="849" ht="15.75" customHeight="1">
      <c r="B849" s="29"/>
    </row>
    <row r="850" ht="15.75" customHeight="1">
      <c r="B850" s="29"/>
    </row>
    <row r="851" ht="15.75" customHeight="1">
      <c r="B851" s="29"/>
    </row>
    <row r="852" ht="15.75" customHeight="1">
      <c r="B852" s="29"/>
    </row>
    <row r="853" ht="15.75" customHeight="1">
      <c r="B853" s="29"/>
    </row>
    <row r="854" ht="15.75" customHeight="1">
      <c r="B854" s="29"/>
    </row>
    <row r="855" ht="15.75" customHeight="1">
      <c r="B855" s="29"/>
    </row>
    <row r="856" ht="15.75" customHeight="1">
      <c r="B856" s="29"/>
    </row>
    <row r="857" ht="15.75" customHeight="1">
      <c r="B857" s="29"/>
    </row>
    <row r="858" ht="15.75" customHeight="1">
      <c r="B858" s="29"/>
    </row>
    <row r="859" ht="15.75" customHeight="1">
      <c r="B859" s="29"/>
    </row>
    <row r="860" ht="15.75" customHeight="1">
      <c r="B860" s="29"/>
    </row>
    <row r="861" ht="15.75" customHeight="1">
      <c r="B861" s="29"/>
    </row>
    <row r="862" ht="15.75" customHeight="1">
      <c r="B862" s="29"/>
    </row>
    <row r="863" ht="15.75" customHeight="1">
      <c r="B863" s="29"/>
    </row>
    <row r="864" ht="15.75" customHeight="1">
      <c r="B864" s="29"/>
    </row>
    <row r="865" ht="15.75" customHeight="1">
      <c r="B865" s="29"/>
    </row>
    <row r="866" ht="15.75" customHeight="1">
      <c r="B866" s="29"/>
    </row>
    <row r="867" ht="15.75" customHeight="1">
      <c r="B867" s="29"/>
    </row>
    <row r="868" ht="15.75" customHeight="1">
      <c r="B868" s="29"/>
    </row>
    <row r="869" ht="15.75" customHeight="1">
      <c r="B869" s="29"/>
    </row>
    <row r="870" ht="15.75" customHeight="1">
      <c r="B870" s="29"/>
    </row>
    <row r="871" ht="15.75" customHeight="1">
      <c r="B871" s="29"/>
    </row>
    <row r="872" ht="15.75" customHeight="1">
      <c r="B872" s="29"/>
    </row>
    <row r="873" ht="15.75" customHeight="1">
      <c r="B873" s="29"/>
    </row>
    <row r="874" ht="15.75" customHeight="1">
      <c r="B874" s="29"/>
    </row>
    <row r="875" ht="15.75" customHeight="1">
      <c r="B875" s="29"/>
    </row>
    <row r="876" ht="15.75" customHeight="1">
      <c r="B876" s="29"/>
    </row>
    <row r="877" ht="15.75" customHeight="1">
      <c r="B877" s="29"/>
    </row>
    <row r="878" ht="15.75" customHeight="1">
      <c r="B878" s="29"/>
    </row>
    <row r="879" ht="15.75" customHeight="1">
      <c r="B879" s="29"/>
    </row>
    <row r="880" ht="15.75" customHeight="1">
      <c r="B880" s="29"/>
    </row>
    <row r="881" ht="15.75" customHeight="1">
      <c r="B881" s="29"/>
    </row>
    <row r="882" ht="15.75" customHeight="1">
      <c r="B882" s="29"/>
    </row>
    <row r="883" ht="15.75" customHeight="1">
      <c r="B883" s="29"/>
    </row>
    <row r="884" ht="15.75" customHeight="1">
      <c r="B884" s="29"/>
    </row>
    <row r="885" ht="15.75" customHeight="1">
      <c r="B885" s="29"/>
    </row>
    <row r="886" ht="15.75" customHeight="1">
      <c r="B886" s="29"/>
    </row>
    <row r="887" ht="15.75" customHeight="1">
      <c r="B887" s="29"/>
    </row>
    <row r="888" ht="15.75" customHeight="1">
      <c r="B888" s="29"/>
    </row>
    <row r="889" ht="15.75" customHeight="1">
      <c r="B889" s="29"/>
    </row>
    <row r="890" ht="15.75" customHeight="1">
      <c r="B890" s="29"/>
    </row>
    <row r="891" ht="15.75" customHeight="1">
      <c r="B891" s="29"/>
    </row>
    <row r="892" ht="15.75" customHeight="1">
      <c r="B892" s="29"/>
    </row>
    <row r="893" ht="15.75" customHeight="1">
      <c r="B893" s="29"/>
    </row>
    <row r="894" ht="15.75" customHeight="1">
      <c r="B894" s="29"/>
    </row>
    <row r="895" ht="15.75" customHeight="1">
      <c r="B895" s="29"/>
    </row>
    <row r="896" ht="15.75" customHeight="1">
      <c r="B896" s="29"/>
    </row>
    <row r="897" ht="15.75" customHeight="1">
      <c r="B897" s="29"/>
    </row>
    <row r="898" ht="15.75" customHeight="1">
      <c r="B898" s="29"/>
    </row>
    <row r="899" ht="15.75" customHeight="1">
      <c r="B899" s="29"/>
    </row>
    <row r="900" ht="15.75" customHeight="1">
      <c r="B900" s="29"/>
    </row>
    <row r="901" ht="15.75" customHeight="1">
      <c r="B901" s="29"/>
    </row>
    <row r="902" ht="15.75" customHeight="1">
      <c r="B902" s="29"/>
    </row>
    <row r="903" ht="15.75" customHeight="1">
      <c r="B903" s="29"/>
    </row>
    <row r="904" ht="15.75" customHeight="1">
      <c r="B904" s="29"/>
    </row>
    <row r="905" ht="15.75" customHeight="1">
      <c r="B905" s="29"/>
    </row>
    <row r="906" ht="15.75" customHeight="1">
      <c r="B906" s="29"/>
    </row>
    <row r="907" ht="15.75" customHeight="1">
      <c r="B907" s="29"/>
    </row>
    <row r="908" ht="15.75" customHeight="1">
      <c r="B908" s="29"/>
    </row>
    <row r="909" ht="15.75" customHeight="1">
      <c r="B909" s="29"/>
    </row>
    <row r="910" ht="15.75" customHeight="1">
      <c r="B910" s="29"/>
    </row>
    <row r="911" ht="15.75" customHeight="1">
      <c r="B911" s="29"/>
    </row>
    <row r="912" ht="15.75" customHeight="1">
      <c r="B912" s="29"/>
    </row>
    <row r="913" ht="15.75" customHeight="1">
      <c r="B913" s="29"/>
    </row>
    <row r="914" ht="15.75" customHeight="1">
      <c r="B914" s="29"/>
    </row>
    <row r="915" ht="15.75" customHeight="1">
      <c r="B915" s="29"/>
    </row>
    <row r="916" ht="15.75" customHeight="1">
      <c r="B916" s="29"/>
    </row>
    <row r="917" ht="15.75" customHeight="1">
      <c r="B917" s="29"/>
    </row>
    <row r="918" ht="15.75" customHeight="1">
      <c r="B918" s="29"/>
    </row>
    <row r="919" ht="15.75" customHeight="1">
      <c r="B919" s="29"/>
    </row>
    <row r="920" ht="15.75" customHeight="1">
      <c r="B920" s="29"/>
    </row>
    <row r="921" ht="15.75" customHeight="1">
      <c r="B921" s="29"/>
    </row>
    <row r="922" ht="15.75" customHeight="1">
      <c r="B922" s="29"/>
    </row>
    <row r="923" ht="15.75" customHeight="1">
      <c r="B923" s="29"/>
    </row>
    <row r="924" ht="15.75" customHeight="1">
      <c r="B924" s="29"/>
    </row>
    <row r="925" ht="15.75" customHeight="1">
      <c r="B925" s="29"/>
    </row>
    <row r="926" ht="15.75" customHeight="1">
      <c r="B926" s="29"/>
    </row>
    <row r="927" ht="15.75" customHeight="1">
      <c r="B927" s="29"/>
    </row>
    <row r="928" ht="15.75" customHeight="1">
      <c r="B928" s="29"/>
    </row>
    <row r="929" ht="15.75" customHeight="1">
      <c r="B929" s="29"/>
    </row>
    <row r="930" ht="15.75" customHeight="1">
      <c r="B930" s="29"/>
    </row>
    <row r="931" ht="15.75" customHeight="1">
      <c r="B931" s="29"/>
    </row>
    <row r="932" ht="15.75" customHeight="1">
      <c r="B932" s="29"/>
    </row>
    <row r="933" ht="15.75" customHeight="1">
      <c r="B933" s="29"/>
    </row>
    <row r="934" ht="15.75" customHeight="1">
      <c r="B934" s="29"/>
    </row>
    <row r="935" ht="15.75" customHeight="1">
      <c r="B935" s="29"/>
    </row>
    <row r="936" ht="15.75" customHeight="1">
      <c r="B936" s="29"/>
    </row>
    <row r="937" ht="15.75" customHeight="1">
      <c r="B937" s="29"/>
    </row>
    <row r="938" ht="15.75" customHeight="1">
      <c r="B938" s="29"/>
    </row>
    <row r="939" ht="15.75" customHeight="1">
      <c r="B939" s="29"/>
    </row>
    <row r="940" ht="15.75" customHeight="1">
      <c r="B940" s="29"/>
    </row>
    <row r="941" ht="15.75" customHeight="1">
      <c r="B941" s="29"/>
    </row>
    <row r="942" ht="15.75" customHeight="1">
      <c r="B942" s="29"/>
    </row>
    <row r="943" ht="15.75" customHeight="1">
      <c r="B943" s="29"/>
    </row>
    <row r="944" ht="15.75" customHeight="1">
      <c r="B944" s="29"/>
    </row>
    <row r="945" ht="15.75" customHeight="1">
      <c r="B945" s="29"/>
    </row>
    <row r="946" ht="15.75" customHeight="1">
      <c r="B946" s="29"/>
    </row>
    <row r="947" ht="15.75" customHeight="1">
      <c r="B947" s="29"/>
    </row>
    <row r="948" ht="15.75" customHeight="1">
      <c r="B948" s="29"/>
    </row>
    <row r="949" ht="15.75" customHeight="1">
      <c r="B949" s="29"/>
    </row>
    <row r="950" ht="15.75" customHeight="1">
      <c r="B950" s="29"/>
    </row>
    <row r="951" ht="15.75" customHeight="1">
      <c r="B951" s="29"/>
    </row>
    <row r="952" ht="15.75" customHeight="1">
      <c r="B952" s="29"/>
    </row>
    <row r="953" ht="15.75" customHeight="1">
      <c r="B953" s="29"/>
    </row>
    <row r="954" ht="15.75" customHeight="1">
      <c r="B954" s="29"/>
    </row>
    <row r="955" ht="15.75" customHeight="1">
      <c r="B955" s="29"/>
    </row>
    <row r="956" ht="15.75" customHeight="1">
      <c r="B956" s="29"/>
    </row>
    <row r="957" ht="15.75" customHeight="1">
      <c r="B957" s="29"/>
    </row>
    <row r="958" ht="15.75" customHeight="1">
      <c r="B958" s="29"/>
    </row>
    <row r="959" ht="15.75" customHeight="1">
      <c r="B959" s="29"/>
    </row>
    <row r="960" ht="15.75" customHeight="1">
      <c r="B960" s="29"/>
    </row>
    <row r="961" ht="15.75" customHeight="1">
      <c r="B961" s="29"/>
    </row>
    <row r="962" ht="15.75" customHeight="1">
      <c r="B962" s="29"/>
    </row>
    <row r="963" ht="15.75" customHeight="1">
      <c r="B963" s="29"/>
    </row>
    <row r="964" ht="15.75" customHeight="1">
      <c r="B964" s="29"/>
    </row>
    <row r="965" ht="15.75" customHeight="1">
      <c r="B965" s="29"/>
    </row>
    <row r="966" ht="15.75" customHeight="1">
      <c r="B966" s="29"/>
    </row>
    <row r="967" ht="15.75" customHeight="1">
      <c r="B967" s="29"/>
    </row>
    <row r="968" ht="15.75" customHeight="1">
      <c r="B968" s="29"/>
    </row>
    <row r="969" ht="15.75" customHeight="1">
      <c r="B969" s="29"/>
    </row>
    <row r="970" ht="15.75" customHeight="1">
      <c r="B970" s="29"/>
    </row>
    <row r="971" ht="15.75" customHeight="1">
      <c r="B971" s="29"/>
    </row>
    <row r="972" ht="15.75" customHeight="1">
      <c r="B972" s="29"/>
    </row>
    <row r="973" ht="15.75" customHeight="1">
      <c r="B973" s="29"/>
    </row>
    <row r="974" ht="15.75" customHeight="1">
      <c r="B974" s="29"/>
    </row>
    <row r="975" ht="15.75" customHeight="1">
      <c r="B975" s="29"/>
    </row>
    <row r="976" ht="15.75" customHeight="1">
      <c r="B976" s="29"/>
    </row>
    <row r="977" ht="15.75" customHeight="1">
      <c r="B977" s="29"/>
    </row>
    <row r="978" ht="15.75" customHeight="1">
      <c r="B978" s="29"/>
    </row>
    <row r="979" ht="15.75" customHeight="1">
      <c r="B979" s="29"/>
    </row>
    <row r="980" ht="15.75" customHeight="1">
      <c r="B980" s="29"/>
    </row>
    <row r="981" ht="15.75" customHeight="1">
      <c r="B981" s="29"/>
    </row>
    <row r="982" ht="15.75" customHeight="1">
      <c r="B982" s="29"/>
    </row>
    <row r="983" ht="15.75" customHeight="1">
      <c r="B983" s="29"/>
    </row>
    <row r="984" ht="15.75" customHeight="1">
      <c r="B984" s="29"/>
    </row>
    <row r="985" ht="15.75" customHeight="1">
      <c r="B985" s="29"/>
    </row>
    <row r="986" ht="15.75" customHeight="1">
      <c r="B986" s="29"/>
    </row>
    <row r="987" ht="15.75" customHeight="1">
      <c r="B987" s="29"/>
    </row>
    <row r="988" ht="15.75" customHeight="1">
      <c r="B988" s="29"/>
    </row>
    <row r="989" ht="15.75" customHeight="1">
      <c r="B989" s="29"/>
    </row>
    <row r="990" ht="15.75" customHeight="1">
      <c r="B990" s="29"/>
    </row>
    <row r="991" ht="15.75" customHeight="1">
      <c r="B991" s="29"/>
    </row>
    <row r="992" ht="15.75" customHeight="1">
      <c r="B992" s="29"/>
    </row>
    <row r="993" ht="15.75" customHeight="1">
      <c r="B993" s="29"/>
    </row>
    <row r="994" ht="15.75" customHeight="1">
      <c r="B994" s="29"/>
    </row>
    <row r="995" ht="15.75" customHeight="1">
      <c r="B995" s="29"/>
    </row>
    <row r="996" ht="15.75" customHeight="1">
      <c r="B996" s="29"/>
    </row>
    <row r="997" ht="15.75" customHeight="1">
      <c r="B997" s="29"/>
    </row>
    <row r="998" ht="15.75" customHeight="1">
      <c r="B998" s="29"/>
    </row>
    <row r="999" ht="15.75" customHeight="1">
      <c r="B999" s="29"/>
    </row>
    <row r="1000" ht="15.75" customHeight="1">
      <c r="B1000" s="29"/>
    </row>
    <row r="1001" ht="15.75" customHeight="1">
      <c r="B1001" s="29"/>
    </row>
  </sheetData>
  <mergeCells count="6">
    <mergeCell ref="A6:A21"/>
    <mergeCell ref="A23:A60"/>
    <mergeCell ref="B51:C51"/>
    <mergeCell ref="B61:C61"/>
    <mergeCell ref="A62:C62"/>
    <mergeCell ref="A63:C6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3.86"/>
    <col customWidth="1" min="2" max="2" width="10.71"/>
    <col customWidth="1" min="3" max="3" width="33.43"/>
    <col customWidth="1" min="4" max="7" width="14.57"/>
    <col customWidth="1" min="8" max="9" width="12.71"/>
    <col customWidth="1" min="10" max="12" width="13.86"/>
    <col customWidth="1" min="13" max="16" width="13.14"/>
    <col customWidth="1" min="17" max="26" width="8.71"/>
  </cols>
  <sheetData>
    <row r="1" ht="23.25" customHeight="1">
      <c r="A1" s="66" t="s">
        <v>89</v>
      </c>
      <c r="B1" s="29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R1" s="67"/>
      <c r="S1" s="67"/>
      <c r="T1" s="67"/>
    </row>
    <row r="2">
      <c r="A2" s="30" t="s">
        <v>90</v>
      </c>
      <c r="B2" s="29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R2" s="67"/>
      <c r="S2" s="67"/>
      <c r="T2" s="67"/>
    </row>
    <row r="3">
      <c r="A3" s="31" t="s">
        <v>91</v>
      </c>
      <c r="B3" s="29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R3" s="67"/>
      <c r="S3" s="67"/>
      <c r="T3" s="67"/>
    </row>
    <row r="4">
      <c r="B4" s="2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R4" s="67"/>
      <c r="S4" s="67"/>
      <c r="T4" s="67"/>
    </row>
    <row r="5" ht="41.25" customHeight="1">
      <c r="A5" s="68" t="s">
        <v>78</v>
      </c>
      <c r="B5" s="68" t="s">
        <v>0</v>
      </c>
      <c r="C5" s="68" t="s">
        <v>1</v>
      </c>
      <c r="D5" s="69" t="s">
        <v>79</v>
      </c>
      <c r="E5" s="64"/>
      <c r="F5" s="64"/>
      <c r="G5" s="25"/>
      <c r="H5" s="69" t="s">
        <v>80</v>
      </c>
      <c r="I5" s="64"/>
      <c r="J5" s="64"/>
      <c r="K5" s="64"/>
      <c r="L5" s="64"/>
      <c r="M5" s="64"/>
      <c r="N5" s="64"/>
      <c r="O5" s="64"/>
      <c r="P5" s="25"/>
      <c r="Q5" s="70" t="s">
        <v>81</v>
      </c>
      <c r="R5" s="71" t="s">
        <v>80</v>
      </c>
      <c r="S5" s="64"/>
      <c r="T5" s="25"/>
      <c r="U5" s="72"/>
    </row>
    <row r="6" ht="52.5" customHeight="1">
      <c r="A6" s="3"/>
      <c r="B6" s="3"/>
      <c r="C6" s="3"/>
      <c r="D6" s="73" t="s">
        <v>92</v>
      </c>
      <c r="E6" s="73" t="s">
        <v>93</v>
      </c>
      <c r="F6" s="73" t="s">
        <v>94</v>
      </c>
      <c r="G6" s="73" t="s">
        <v>95</v>
      </c>
      <c r="H6" s="73" t="s">
        <v>92</v>
      </c>
      <c r="I6" s="73" t="s">
        <v>94</v>
      </c>
      <c r="J6" s="73" t="s">
        <v>96</v>
      </c>
      <c r="K6" s="73" t="s">
        <v>97</v>
      </c>
      <c r="L6" s="73" t="s">
        <v>98</v>
      </c>
      <c r="M6" s="73" t="s">
        <v>99</v>
      </c>
      <c r="N6" s="73" t="s">
        <v>100</v>
      </c>
      <c r="O6" s="73" t="s">
        <v>101</v>
      </c>
      <c r="P6" s="73" t="s">
        <v>102</v>
      </c>
      <c r="Q6" s="3"/>
      <c r="R6" s="74" t="s">
        <v>103</v>
      </c>
      <c r="S6" s="74" t="s">
        <v>104</v>
      </c>
      <c r="T6" s="74" t="s">
        <v>105</v>
      </c>
      <c r="U6" s="32" t="s">
        <v>106</v>
      </c>
    </row>
    <row r="7" ht="19.5" hidden="1" customHeight="1">
      <c r="A7" s="34" t="s">
        <v>84</v>
      </c>
      <c r="B7" s="4">
        <v>3003.0</v>
      </c>
      <c r="C7" s="5" t="s">
        <v>13</v>
      </c>
      <c r="D7" s="75">
        <v>1.0</v>
      </c>
      <c r="E7" s="75">
        <v>722.0</v>
      </c>
      <c r="F7" s="75">
        <v>909.0</v>
      </c>
      <c r="G7" s="75">
        <v>31.0</v>
      </c>
      <c r="H7" s="75">
        <v>0.0</v>
      </c>
      <c r="I7" s="75">
        <v>0.0</v>
      </c>
      <c r="J7" s="75">
        <v>0.0</v>
      </c>
      <c r="K7" s="75">
        <v>0.0</v>
      </c>
      <c r="L7" s="75">
        <v>1032.0</v>
      </c>
      <c r="M7" s="75">
        <v>17.0</v>
      </c>
      <c r="N7" s="75">
        <v>94.0</v>
      </c>
      <c r="O7" s="75">
        <v>0.0</v>
      </c>
      <c r="P7" s="75">
        <v>0.0</v>
      </c>
      <c r="Q7" s="7">
        <f t="shared" ref="Q7:Q22" si="1">SUM(D7:P7)</f>
        <v>2806</v>
      </c>
      <c r="R7" s="76">
        <f t="shared" ref="R7:R64" si="2">sum(H7:I7)</f>
        <v>0</v>
      </c>
      <c r="S7" s="76">
        <f t="shared" ref="S7:S64" si="3">sum(J7:L7)</f>
        <v>1032</v>
      </c>
      <c r="T7" s="76">
        <f t="shared" ref="T7:T64" si="4">sum(M7:P7)</f>
        <v>111</v>
      </c>
      <c r="U7" s="77">
        <f t="shared" ref="U7:U64" si="5">sum(D7:G7,R7:T7)</f>
        <v>2806</v>
      </c>
    </row>
    <row r="8" ht="19.5" hidden="1" customHeight="1">
      <c r="A8" s="38"/>
      <c r="B8" s="4">
        <v>3005.0</v>
      </c>
      <c r="C8" s="5" t="s">
        <v>19</v>
      </c>
      <c r="D8" s="75">
        <v>1.0</v>
      </c>
      <c r="E8" s="75">
        <v>1083.0</v>
      </c>
      <c r="F8" s="75">
        <v>1687.0</v>
      </c>
      <c r="G8" s="75">
        <v>242.0</v>
      </c>
      <c r="H8" s="75">
        <v>0.0</v>
      </c>
      <c r="I8" s="75">
        <v>0.0</v>
      </c>
      <c r="J8" s="75">
        <v>0.0</v>
      </c>
      <c r="K8" s="75">
        <v>0.0</v>
      </c>
      <c r="L8" s="75">
        <v>0.0</v>
      </c>
      <c r="M8" s="75">
        <v>0.0</v>
      </c>
      <c r="N8" s="75">
        <v>0.0</v>
      </c>
      <c r="O8" s="75">
        <v>0.0</v>
      </c>
      <c r="P8" s="75">
        <v>0.0</v>
      </c>
      <c r="Q8" s="7">
        <f t="shared" si="1"/>
        <v>3013</v>
      </c>
      <c r="R8" s="76">
        <f t="shared" si="2"/>
        <v>0</v>
      </c>
      <c r="S8" s="76">
        <f t="shared" si="3"/>
        <v>0</v>
      </c>
      <c r="T8" s="76">
        <f t="shared" si="4"/>
        <v>0</v>
      </c>
      <c r="U8" s="77">
        <f t="shared" si="5"/>
        <v>3013</v>
      </c>
    </row>
    <row r="9" ht="19.5" hidden="1" customHeight="1">
      <c r="A9" s="38"/>
      <c r="B9" s="4">
        <v>3006.0</v>
      </c>
      <c r="C9" s="5" t="s">
        <v>20</v>
      </c>
      <c r="D9" s="75">
        <v>8.0</v>
      </c>
      <c r="E9" s="75">
        <v>355.0</v>
      </c>
      <c r="F9" s="75">
        <v>1024.0</v>
      </c>
      <c r="G9" s="75">
        <v>235.0</v>
      </c>
      <c r="H9" s="75">
        <v>0.0</v>
      </c>
      <c r="I9" s="75">
        <v>0.0</v>
      </c>
      <c r="J9" s="75">
        <v>0.0</v>
      </c>
      <c r="K9" s="75">
        <v>0.0</v>
      </c>
      <c r="L9" s="75">
        <v>0.0</v>
      </c>
      <c r="M9" s="75">
        <v>0.0</v>
      </c>
      <c r="N9" s="75">
        <v>0.0</v>
      </c>
      <c r="O9" s="75">
        <v>0.0</v>
      </c>
      <c r="P9" s="75">
        <v>0.0</v>
      </c>
      <c r="Q9" s="7">
        <f t="shared" si="1"/>
        <v>1622</v>
      </c>
      <c r="R9" s="76">
        <f t="shared" si="2"/>
        <v>0</v>
      </c>
      <c r="S9" s="76">
        <f t="shared" si="3"/>
        <v>0</v>
      </c>
      <c r="T9" s="76">
        <f t="shared" si="4"/>
        <v>0</v>
      </c>
      <c r="U9" s="77">
        <f t="shared" si="5"/>
        <v>1622</v>
      </c>
    </row>
    <row r="10" ht="19.5" hidden="1" customHeight="1">
      <c r="A10" s="38"/>
      <c r="B10" s="4">
        <v>3012.0</v>
      </c>
      <c r="C10" s="5" t="s">
        <v>21</v>
      </c>
      <c r="D10" s="75">
        <v>28.0</v>
      </c>
      <c r="E10" s="75">
        <v>562.0</v>
      </c>
      <c r="F10" s="75">
        <v>15529.0</v>
      </c>
      <c r="G10" s="75">
        <v>9248.0</v>
      </c>
      <c r="H10" s="75">
        <v>0.0</v>
      </c>
      <c r="I10" s="75">
        <v>0.0</v>
      </c>
      <c r="J10" s="75">
        <v>0.0</v>
      </c>
      <c r="K10" s="75">
        <v>0.0</v>
      </c>
      <c r="L10" s="75">
        <v>0.0</v>
      </c>
      <c r="M10" s="75">
        <v>718.0</v>
      </c>
      <c r="N10" s="75">
        <v>21.0</v>
      </c>
      <c r="O10" s="75">
        <v>0.0</v>
      </c>
      <c r="P10" s="75">
        <v>0.0</v>
      </c>
      <c r="Q10" s="7">
        <f t="shared" si="1"/>
        <v>26106</v>
      </c>
      <c r="R10" s="76">
        <f t="shared" si="2"/>
        <v>0</v>
      </c>
      <c r="S10" s="76">
        <f t="shared" si="3"/>
        <v>0</v>
      </c>
      <c r="T10" s="76">
        <f t="shared" si="4"/>
        <v>739</v>
      </c>
      <c r="U10" s="77">
        <f t="shared" si="5"/>
        <v>26106</v>
      </c>
    </row>
    <row r="11" ht="19.5" hidden="1" customHeight="1">
      <c r="A11" s="38"/>
      <c r="B11" s="4">
        <v>3023.0</v>
      </c>
      <c r="C11" s="5" t="s">
        <v>85</v>
      </c>
      <c r="D11" s="75">
        <v>0.0</v>
      </c>
      <c r="E11" s="75">
        <v>5.0</v>
      </c>
      <c r="F11" s="75">
        <v>23.0</v>
      </c>
      <c r="G11" s="75">
        <v>4.0</v>
      </c>
      <c r="H11" s="75">
        <v>0.0</v>
      </c>
      <c r="I11" s="75">
        <v>0.0</v>
      </c>
      <c r="J11" s="75">
        <v>0.0</v>
      </c>
      <c r="K11" s="75">
        <v>0.0</v>
      </c>
      <c r="L11" s="75">
        <v>0.0</v>
      </c>
      <c r="M11" s="75">
        <v>0.0</v>
      </c>
      <c r="N11" s="75">
        <v>0.0</v>
      </c>
      <c r="O11" s="75">
        <v>0.0</v>
      </c>
      <c r="P11" s="75">
        <v>0.0</v>
      </c>
      <c r="Q11" s="7">
        <f t="shared" si="1"/>
        <v>32</v>
      </c>
      <c r="R11" s="76">
        <f t="shared" si="2"/>
        <v>0</v>
      </c>
      <c r="S11" s="76">
        <f t="shared" si="3"/>
        <v>0</v>
      </c>
      <c r="T11" s="76">
        <f t="shared" si="4"/>
        <v>0</v>
      </c>
      <c r="U11" s="77">
        <f t="shared" si="5"/>
        <v>32</v>
      </c>
    </row>
    <row r="12" ht="19.5" hidden="1" customHeight="1">
      <c r="A12" s="38"/>
      <c r="B12" s="4">
        <v>3024.0</v>
      </c>
      <c r="C12" s="5" t="s">
        <v>22</v>
      </c>
      <c r="D12" s="75">
        <v>0.0</v>
      </c>
      <c r="E12" s="75">
        <v>1543.0</v>
      </c>
      <c r="F12" s="75">
        <v>1931.0</v>
      </c>
      <c r="G12" s="75">
        <v>183.0</v>
      </c>
      <c r="H12" s="75">
        <v>0.0</v>
      </c>
      <c r="I12" s="75">
        <v>0.0</v>
      </c>
      <c r="J12" s="75">
        <v>0.0</v>
      </c>
      <c r="K12" s="75">
        <v>0.0</v>
      </c>
      <c r="L12" s="75">
        <v>0.0</v>
      </c>
      <c r="M12" s="75">
        <v>0.0</v>
      </c>
      <c r="N12" s="75">
        <v>0.0</v>
      </c>
      <c r="O12" s="75">
        <v>0.0</v>
      </c>
      <c r="P12" s="75">
        <v>0.0</v>
      </c>
      <c r="Q12" s="7">
        <f t="shared" si="1"/>
        <v>3657</v>
      </c>
      <c r="R12" s="76">
        <f t="shared" si="2"/>
        <v>0</v>
      </c>
      <c r="S12" s="76">
        <f t="shared" si="3"/>
        <v>0</v>
      </c>
      <c r="T12" s="76">
        <f t="shared" si="4"/>
        <v>0</v>
      </c>
      <c r="U12" s="77">
        <f t="shared" si="5"/>
        <v>3657</v>
      </c>
    </row>
    <row r="13" ht="19.5" hidden="1" customHeight="1">
      <c r="A13" s="38"/>
      <c r="B13" s="4">
        <v>3038.0</v>
      </c>
      <c r="C13" s="5" t="s">
        <v>23</v>
      </c>
      <c r="D13" s="75">
        <v>0.0</v>
      </c>
      <c r="E13" s="75">
        <v>11.0</v>
      </c>
      <c r="F13" s="75">
        <v>148.0</v>
      </c>
      <c r="G13" s="75">
        <v>41.0</v>
      </c>
      <c r="H13" s="75">
        <v>0.0</v>
      </c>
      <c r="I13" s="75">
        <v>0.0</v>
      </c>
      <c r="J13" s="75">
        <v>0.0</v>
      </c>
      <c r="K13" s="75">
        <v>0.0</v>
      </c>
      <c r="L13" s="75">
        <v>0.0</v>
      </c>
      <c r="M13" s="75">
        <v>0.0</v>
      </c>
      <c r="N13" s="75">
        <v>0.0</v>
      </c>
      <c r="O13" s="75">
        <v>0.0</v>
      </c>
      <c r="P13" s="75">
        <v>0.0</v>
      </c>
      <c r="Q13" s="7">
        <f t="shared" si="1"/>
        <v>200</v>
      </c>
      <c r="R13" s="76">
        <f t="shared" si="2"/>
        <v>0</v>
      </c>
      <c r="S13" s="76">
        <f t="shared" si="3"/>
        <v>0</v>
      </c>
      <c r="T13" s="76">
        <f t="shared" si="4"/>
        <v>0</v>
      </c>
      <c r="U13" s="77">
        <f t="shared" si="5"/>
        <v>200</v>
      </c>
    </row>
    <row r="14" ht="19.5" hidden="1" customHeight="1">
      <c r="A14" s="38"/>
      <c r="B14" s="4">
        <v>4002.0</v>
      </c>
      <c r="C14" s="5" t="s">
        <v>24</v>
      </c>
      <c r="D14" s="75">
        <v>0.0</v>
      </c>
      <c r="E14" s="75">
        <v>4.0</v>
      </c>
      <c r="F14" s="75">
        <v>37.0</v>
      </c>
      <c r="G14" s="75">
        <v>22.0</v>
      </c>
      <c r="H14" s="75">
        <v>0.0</v>
      </c>
      <c r="I14" s="75">
        <v>0.0</v>
      </c>
      <c r="J14" s="75">
        <v>0.0</v>
      </c>
      <c r="K14" s="75">
        <v>0.0</v>
      </c>
      <c r="L14" s="75">
        <v>0.0</v>
      </c>
      <c r="M14" s="75">
        <v>0.0</v>
      </c>
      <c r="N14" s="75">
        <v>0.0</v>
      </c>
      <c r="O14" s="75">
        <v>0.0</v>
      </c>
      <c r="P14" s="75">
        <v>0.0</v>
      </c>
      <c r="Q14" s="7">
        <f t="shared" si="1"/>
        <v>63</v>
      </c>
      <c r="R14" s="76">
        <f t="shared" si="2"/>
        <v>0</v>
      </c>
      <c r="S14" s="76">
        <f t="shared" si="3"/>
        <v>0</v>
      </c>
      <c r="T14" s="76">
        <f t="shared" si="4"/>
        <v>0</v>
      </c>
      <c r="U14" s="77">
        <f t="shared" si="5"/>
        <v>63</v>
      </c>
    </row>
    <row r="15" ht="19.5" hidden="1" customHeight="1">
      <c r="A15" s="38"/>
      <c r="B15" s="4">
        <v>4007.0</v>
      </c>
      <c r="C15" s="5" t="s">
        <v>25</v>
      </c>
      <c r="D15" s="75">
        <v>0.0</v>
      </c>
      <c r="E15" s="75">
        <v>230.0</v>
      </c>
      <c r="F15" s="75">
        <v>1458.0</v>
      </c>
      <c r="G15" s="75">
        <v>676.0</v>
      </c>
      <c r="H15" s="75">
        <v>0.0</v>
      </c>
      <c r="I15" s="75">
        <v>0.0</v>
      </c>
      <c r="J15" s="75">
        <v>0.0</v>
      </c>
      <c r="K15" s="75">
        <v>0.0</v>
      </c>
      <c r="L15" s="75">
        <v>0.0</v>
      </c>
      <c r="M15" s="75">
        <v>4.0</v>
      </c>
      <c r="N15" s="75">
        <v>0.0</v>
      </c>
      <c r="O15" s="75">
        <v>0.0</v>
      </c>
      <c r="P15" s="75">
        <v>0.0</v>
      </c>
      <c r="Q15" s="7">
        <f t="shared" si="1"/>
        <v>2368</v>
      </c>
      <c r="R15" s="76">
        <f t="shared" si="2"/>
        <v>0</v>
      </c>
      <c r="S15" s="76">
        <f t="shared" si="3"/>
        <v>0</v>
      </c>
      <c r="T15" s="76">
        <f t="shared" si="4"/>
        <v>4</v>
      </c>
      <c r="U15" s="77">
        <f t="shared" si="5"/>
        <v>2368</v>
      </c>
    </row>
    <row r="16" ht="19.5" hidden="1" customHeight="1">
      <c r="A16" s="38"/>
      <c r="B16" s="4">
        <v>4008.0</v>
      </c>
      <c r="C16" s="5" t="s">
        <v>26</v>
      </c>
      <c r="D16" s="75">
        <v>0.0</v>
      </c>
      <c r="E16" s="75">
        <v>8.0</v>
      </c>
      <c r="F16" s="75">
        <v>186.0</v>
      </c>
      <c r="G16" s="75">
        <v>45.0</v>
      </c>
      <c r="H16" s="75">
        <v>0.0</v>
      </c>
      <c r="I16" s="75">
        <v>0.0</v>
      </c>
      <c r="J16" s="75">
        <v>0.0</v>
      </c>
      <c r="K16" s="75">
        <v>0.0</v>
      </c>
      <c r="L16" s="75">
        <v>0.0</v>
      </c>
      <c r="M16" s="75">
        <v>0.0</v>
      </c>
      <c r="N16" s="75">
        <v>0.0</v>
      </c>
      <c r="O16" s="75">
        <v>0.0</v>
      </c>
      <c r="P16" s="75">
        <v>0.0</v>
      </c>
      <c r="Q16" s="7">
        <f t="shared" si="1"/>
        <v>239</v>
      </c>
      <c r="R16" s="76">
        <f t="shared" si="2"/>
        <v>0</v>
      </c>
      <c r="S16" s="76">
        <f t="shared" si="3"/>
        <v>0</v>
      </c>
      <c r="T16" s="76">
        <f t="shared" si="4"/>
        <v>0</v>
      </c>
      <c r="U16" s="77">
        <f t="shared" si="5"/>
        <v>239</v>
      </c>
    </row>
    <row r="17" ht="19.5" hidden="1" customHeight="1">
      <c r="A17" s="38"/>
      <c r="B17" s="4">
        <v>4016.0</v>
      </c>
      <c r="C17" s="5" t="s">
        <v>27</v>
      </c>
      <c r="D17" s="75">
        <v>0.0</v>
      </c>
      <c r="E17" s="75">
        <v>132.0</v>
      </c>
      <c r="F17" s="75">
        <v>999.0</v>
      </c>
      <c r="G17" s="75">
        <v>148.0</v>
      </c>
      <c r="H17" s="75">
        <v>0.0</v>
      </c>
      <c r="I17" s="75">
        <v>0.0</v>
      </c>
      <c r="J17" s="75">
        <v>1.0</v>
      </c>
      <c r="K17" s="75">
        <v>0.0</v>
      </c>
      <c r="L17" s="75">
        <v>4.0</v>
      </c>
      <c r="M17" s="75">
        <v>2.0</v>
      </c>
      <c r="N17" s="75">
        <v>0.0</v>
      </c>
      <c r="O17" s="75">
        <v>0.0</v>
      </c>
      <c r="P17" s="75">
        <v>0.0</v>
      </c>
      <c r="Q17" s="7">
        <f t="shared" si="1"/>
        <v>1286</v>
      </c>
      <c r="R17" s="76">
        <f t="shared" si="2"/>
        <v>0</v>
      </c>
      <c r="S17" s="76">
        <f t="shared" si="3"/>
        <v>5</v>
      </c>
      <c r="T17" s="76">
        <f t="shared" si="4"/>
        <v>2</v>
      </c>
      <c r="U17" s="77">
        <f t="shared" si="5"/>
        <v>1286</v>
      </c>
    </row>
    <row r="18" ht="19.5" hidden="1" customHeight="1">
      <c r="A18" s="38"/>
      <c r="B18" s="4">
        <v>4020.0</v>
      </c>
      <c r="C18" s="5" t="s">
        <v>28</v>
      </c>
      <c r="D18" s="75">
        <v>0.0</v>
      </c>
      <c r="E18" s="75">
        <v>98.0</v>
      </c>
      <c r="F18" s="75">
        <v>447.0</v>
      </c>
      <c r="G18" s="75">
        <v>150.0</v>
      </c>
      <c r="H18" s="75">
        <v>1.0</v>
      </c>
      <c r="I18" s="75">
        <v>4.0</v>
      </c>
      <c r="J18" s="75">
        <v>45.0</v>
      </c>
      <c r="K18" s="75">
        <v>0.0</v>
      </c>
      <c r="L18" s="75">
        <v>282.0</v>
      </c>
      <c r="M18" s="75">
        <v>719.0</v>
      </c>
      <c r="N18" s="75">
        <v>0.0</v>
      </c>
      <c r="O18" s="75">
        <v>0.0</v>
      </c>
      <c r="P18" s="75">
        <v>0.0</v>
      </c>
      <c r="Q18" s="7">
        <f t="shared" si="1"/>
        <v>1746</v>
      </c>
      <c r="R18" s="76">
        <f t="shared" si="2"/>
        <v>5</v>
      </c>
      <c r="S18" s="76">
        <f t="shared" si="3"/>
        <v>327</v>
      </c>
      <c r="T18" s="76">
        <f t="shared" si="4"/>
        <v>719</v>
      </c>
      <c r="U18" s="77">
        <f t="shared" si="5"/>
        <v>1746</v>
      </c>
    </row>
    <row r="19" ht="19.5" hidden="1" customHeight="1">
      <c r="A19" s="38"/>
      <c r="B19" s="4">
        <v>4023.0</v>
      </c>
      <c r="C19" s="5" t="s">
        <v>29</v>
      </c>
      <c r="D19" s="75">
        <v>0.0</v>
      </c>
      <c r="E19" s="75">
        <v>15.0</v>
      </c>
      <c r="F19" s="75">
        <v>156.0</v>
      </c>
      <c r="G19" s="75">
        <v>42.0</v>
      </c>
      <c r="H19" s="75">
        <v>0.0</v>
      </c>
      <c r="I19" s="75">
        <v>0.0</v>
      </c>
      <c r="J19" s="75">
        <v>0.0</v>
      </c>
      <c r="K19" s="75">
        <v>0.0</v>
      </c>
      <c r="L19" s="75">
        <v>0.0</v>
      </c>
      <c r="M19" s="75">
        <v>0.0</v>
      </c>
      <c r="N19" s="75">
        <v>0.0</v>
      </c>
      <c r="O19" s="75">
        <v>0.0</v>
      </c>
      <c r="P19" s="75">
        <v>0.0</v>
      </c>
      <c r="Q19" s="7">
        <f t="shared" si="1"/>
        <v>213</v>
      </c>
      <c r="R19" s="76">
        <f t="shared" si="2"/>
        <v>0</v>
      </c>
      <c r="S19" s="76">
        <f t="shared" si="3"/>
        <v>0</v>
      </c>
      <c r="T19" s="76">
        <f t="shared" si="4"/>
        <v>0</v>
      </c>
      <c r="U19" s="77">
        <f t="shared" si="5"/>
        <v>213</v>
      </c>
    </row>
    <row r="20" ht="19.5" hidden="1" customHeight="1">
      <c r="A20" s="38"/>
      <c r="B20" s="4">
        <v>4024.0</v>
      </c>
      <c r="C20" s="5" t="s">
        <v>30</v>
      </c>
      <c r="D20" s="75">
        <v>3.0</v>
      </c>
      <c r="E20" s="75">
        <v>22.0</v>
      </c>
      <c r="F20" s="75">
        <v>154.0</v>
      </c>
      <c r="G20" s="75">
        <v>27.0</v>
      </c>
      <c r="H20" s="75">
        <v>0.0</v>
      </c>
      <c r="I20" s="75">
        <v>0.0</v>
      </c>
      <c r="J20" s="75">
        <v>0.0</v>
      </c>
      <c r="K20" s="75">
        <v>0.0</v>
      </c>
      <c r="L20" s="75">
        <v>0.0</v>
      </c>
      <c r="M20" s="75">
        <v>0.0</v>
      </c>
      <c r="N20" s="75">
        <v>0.0</v>
      </c>
      <c r="O20" s="75">
        <v>0.0</v>
      </c>
      <c r="P20" s="75">
        <v>0.0</v>
      </c>
      <c r="Q20" s="7">
        <f t="shared" si="1"/>
        <v>206</v>
      </c>
      <c r="R20" s="76">
        <f t="shared" si="2"/>
        <v>0</v>
      </c>
      <c r="S20" s="76">
        <f t="shared" si="3"/>
        <v>0</v>
      </c>
      <c r="T20" s="76">
        <f t="shared" si="4"/>
        <v>0</v>
      </c>
      <c r="U20" s="77">
        <f t="shared" si="5"/>
        <v>206</v>
      </c>
    </row>
    <row r="21" ht="19.5" hidden="1" customHeight="1">
      <c r="A21" s="38"/>
      <c r="B21" s="4">
        <v>4033.0</v>
      </c>
      <c r="C21" s="5" t="s">
        <v>31</v>
      </c>
      <c r="D21" s="75">
        <v>12.0</v>
      </c>
      <c r="E21" s="75">
        <v>576.0</v>
      </c>
      <c r="F21" s="75">
        <v>276.0</v>
      </c>
      <c r="G21" s="75">
        <v>61.0</v>
      </c>
      <c r="H21" s="75">
        <v>0.0</v>
      </c>
      <c r="I21" s="75">
        <v>0.0</v>
      </c>
      <c r="J21" s="75">
        <v>0.0</v>
      </c>
      <c r="K21" s="75">
        <v>0.0</v>
      </c>
      <c r="L21" s="75">
        <v>0.0</v>
      </c>
      <c r="M21" s="75">
        <v>0.0</v>
      </c>
      <c r="N21" s="75">
        <v>0.0</v>
      </c>
      <c r="O21" s="75">
        <v>0.0</v>
      </c>
      <c r="P21" s="75">
        <v>0.0</v>
      </c>
      <c r="Q21" s="7">
        <f t="shared" si="1"/>
        <v>925</v>
      </c>
      <c r="R21" s="76">
        <f t="shared" si="2"/>
        <v>0</v>
      </c>
      <c r="S21" s="76">
        <f t="shared" si="3"/>
        <v>0</v>
      </c>
      <c r="T21" s="76">
        <f t="shared" si="4"/>
        <v>0</v>
      </c>
      <c r="U21" s="77">
        <f t="shared" si="5"/>
        <v>925</v>
      </c>
    </row>
    <row r="22" ht="19.5" hidden="1" customHeight="1">
      <c r="A22" s="3"/>
      <c r="B22" s="4">
        <v>4071.0</v>
      </c>
      <c r="C22" s="5" t="s">
        <v>32</v>
      </c>
      <c r="D22" s="75">
        <v>0.0</v>
      </c>
      <c r="E22" s="75">
        <v>80.0</v>
      </c>
      <c r="F22" s="75">
        <v>254.0</v>
      </c>
      <c r="G22" s="75">
        <v>61.0</v>
      </c>
      <c r="H22" s="75">
        <v>0.0</v>
      </c>
      <c r="I22" s="75">
        <v>0.0</v>
      </c>
      <c r="J22" s="75">
        <v>0.0</v>
      </c>
      <c r="K22" s="75">
        <v>0.0</v>
      </c>
      <c r="L22" s="75">
        <v>0.0</v>
      </c>
      <c r="M22" s="75">
        <v>0.0</v>
      </c>
      <c r="N22" s="75">
        <v>0.0</v>
      </c>
      <c r="O22" s="75">
        <v>0.0</v>
      </c>
      <c r="P22" s="75">
        <v>0.0</v>
      </c>
      <c r="Q22" s="7">
        <f t="shared" si="1"/>
        <v>395</v>
      </c>
      <c r="R22" s="76">
        <f t="shared" si="2"/>
        <v>0</v>
      </c>
      <c r="S22" s="76">
        <f t="shared" si="3"/>
        <v>0</v>
      </c>
      <c r="T22" s="76">
        <f t="shared" si="4"/>
        <v>0</v>
      </c>
      <c r="U22" s="77">
        <f t="shared" si="5"/>
        <v>395</v>
      </c>
    </row>
    <row r="23" ht="31.5" hidden="1" customHeight="1">
      <c r="A23" s="78" t="s">
        <v>86</v>
      </c>
      <c r="B23" s="64"/>
      <c r="C23" s="25"/>
      <c r="D23" s="79">
        <f t="shared" ref="D23:Q23" si="6">SUM(D7:D22)</f>
        <v>53</v>
      </c>
      <c r="E23" s="79">
        <f t="shared" si="6"/>
        <v>5446</v>
      </c>
      <c r="F23" s="79">
        <f t="shared" si="6"/>
        <v>25218</v>
      </c>
      <c r="G23" s="79">
        <f t="shared" si="6"/>
        <v>11216</v>
      </c>
      <c r="H23" s="79">
        <f t="shared" si="6"/>
        <v>1</v>
      </c>
      <c r="I23" s="79">
        <f t="shared" si="6"/>
        <v>4</v>
      </c>
      <c r="J23" s="79">
        <f t="shared" si="6"/>
        <v>46</v>
      </c>
      <c r="K23" s="79">
        <f t="shared" si="6"/>
        <v>0</v>
      </c>
      <c r="L23" s="79">
        <f t="shared" si="6"/>
        <v>1318</v>
      </c>
      <c r="M23" s="79">
        <f t="shared" si="6"/>
        <v>1460</v>
      </c>
      <c r="N23" s="79">
        <f t="shared" si="6"/>
        <v>115</v>
      </c>
      <c r="O23" s="79">
        <f t="shared" si="6"/>
        <v>0</v>
      </c>
      <c r="P23" s="79">
        <f t="shared" si="6"/>
        <v>0</v>
      </c>
      <c r="Q23" s="56">
        <f t="shared" si="6"/>
        <v>44877</v>
      </c>
      <c r="R23" s="80">
        <f t="shared" si="2"/>
        <v>5</v>
      </c>
      <c r="S23" s="80">
        <f t="shared" si="3"/>
        <v>1364</v>
      </c>
      <c r="T23" s="80">
        <f t="shared" si="4"/>
        <v>1575</v>
      </c>
      <c r="U23" s="81">
        <f t="shared" si="5"/>
        <v>44877</v>
      </c>
    </row>
    <row r="24" ht="19.5" customHeight="1">
      <c r="A24" s="34" t="s">
        <v>107</v>
      </c>
      <c r="B24" s="4">
        <v>6100.0</v>
      </c>
      <c r="C24" s="5" t="s">
        <v>33</v>
      </c>
      <c r="D24" s="75">
        <v>69.0</v>
      </c>
      <c r="E24" s="75">
        <v>2319.0</v>
      </c>
      <c r="F24" s="75">
        <v>15838.0</v>
      </c>
      <c r="G24" s="75">
        <v>8548.0</v>
      </c>
      <c r="H24" s="75">
        <v>5.0</v>
      </c>
      <c r="I24" s="75">
        <v>0.0</v>
      </c>
      <c r="J24" s="75">
        <v>897.0</v>
      </c>
      <c r="K24" s="75">
        <v>0.0</v>
      </c>
      <c r="L24" s="75">
        <v>1705.0</v>
      </c>
      <c r="M24" s="75">
        <v>22628.0</v>
      </c>
      <c r="N24" s="75">
        <v>443.0</v>
      </c>
      <c r="O24" s="75">
        <v>19.0</v>
      </c>
      <c r="P24" s="75">
        <v>1.0</v>
      </c>
      <c r="Q24" s="7">
        <f t="shared" ref="Q24:Q51" si="7">SUM(D24:P24)</f>
        <v>52472</v>
      </c>
      <c r="R24" s="76">
        <f t="shared" si="2"/>
        <v>5</v>
      </c>
      <c r="S24" s="76">
        <f t="shared" si="3"/>
        <v>2602</v>
      </c>
      <c r="T24" s="76">
        <f t="shared" si="4"/>
        <v>23091</v>
      </c>
      <c r="U24" s="77">
        <f t="shared" si="5"/>
        <v>52472</v>
      </c>
    </row>
    <row r="25" ht="19.5" customHeight="1">
      <c r="A25" s="38"/>
      <c r="B25" s="4">
        <v>6101.0</v>
      </c>
      <c r="C25" s="5" t="s">
        <v>34</v>
      </c>
      <c r="D25" s="75">
        <v>25.0</v>
      </c>
      <c r="E25" s="75">
        <v>1501.0</v>
      </c>
      <c r="F25" s="75">
        <v>7564.0</v>
      </c>
      <c r="G25" s="75">
        <v>2800.0</v>
      </c>
      <c r="H25" s="75">
        <v>30.0</v>
      </c>
      <c r="I25" s="75">
        <v>2.0</v>
      </c>
      <c r="J25" s="75">
        <v>751.0</v>
      </c>
      <c r="K25" s="75">
        <v>0.0</v>
      </c>
      <c r="L25" s="75">
        <v>1478.0</v>
      </c>
      <c r="M25" s="75">
        <v>11408.0</v>
      </c>
      <c r="N25" s="75">
        <v>259.0</v>
      </c>
      <c r="O25" s="75">
        <v>44.0</v>
      </c>
      <c r="P25" s="75">
        <v>0.0</v>
      </c>
      <c r="Q25" s="7">
        <f t="shared" si="7"/>
        <v>25862</v>
      </c>
      <c r="R25" s="76">
        <f t="shared" si="2"/>
        <v>32</v>
      </c>
      <c r="S25" s="76">
        <f t="shared" si="3"/>
        <v>2229</v>
      </c>
      <c r="T25" s="76">
        <f t="shared" si="4"/>
        <v>11711</v>
      </c>
      <c r="U25" s="77">
        <f t="shared" si="5"/>
        <v>25862</v>
      </c>
    </row>
    <row r="26" ht="19.5" customHeight="1">
      <c r="A26" s="38"/>
      <c r="B26" s="4">
        <v>6102.0</v>
      </c>
      <c r="C26" s="5" t="s">
        <v>35</v>
      </c>
      <c r="D26" s="75">
        <v>32.0</v>
      </c>
      <c r="E26" s="75">
        <v>937.0</v>
      </c>
      <c r="F26" s="75">
        <v>4539.0</v>
      </c>
      <c r="G26" s="75">
        <v>2429.0</v>
      </c>
      <c r="H26" s="75">
        <v>0.0</v>
      </c>
      <c r="I26" s="75">
        <v>1.0</v>
      </c>
      <c r="J26" s="75">
        <v>119.0</v>
      </c>
      <c r="K26" s="75">
        <v>0.0</v>
      </c>
      <c r="L26" s="75">
        <v>484.0</v>
      </c>
      <c r="M26" s="75">
        <v>4373.0</v>
      </c>
      <c r="N26" s="75">
        <v>157.0</v>
      </c>
      <c r="O26" s="75">
        <v>0.0</v>
      </c>
      <c r="P26" s="75">
        <v>0.0</v>
      </c>
      <c r="Q26" s="7">
        <f t="shared" si="7"/>
        <v>13071</v>
      </c>
      <c r="R26" s="76">
        <f t="shared" si="2"/>
        <v>1</v>
      </c>
      <c r="S26" s="76">
        <f t="shared" si="3"/>
        <v>603</v>
      </c>
      <c r="T26" s="76">
        <f t="shared" si="4"/>
        <v>4530</v>
      </c>
      <c r="U26" s="77">
        <f t="shared" si="5"/>
        <v>13071</v>
      </c>
    </row>
    <row r="27" ht="19.5" customHeight="1">
      <c r="A27" s="38"/>
      <c r="B27" s="4">
        <v>6103.0</v>
      </c>
      <c r="C27" s="5" t="s">
        <v>36</v>
      </c>
      <c r="D27" s="75">
        <v>4.0</v>
      </c>
      <c r="E27" s="75">
        <v>469.0</v>
      </c>
      <c r="F27" s="75">
        <v>4640.0</v>
      </c>
      <c r="G27" s="75">
        <v>2199.0</v>
      </c>
      <c r="H27" s="75">
        <v>0.0</v>
      </c>
      <c r="I27" s="75">
        <v>0.0</v>
      </c>
      <c r="J27" s="75">
        <v>273.0</v>
      </c>
      <c r="K27" s="75">
        <v>0.0</v>
      </c>
      <c r="L27" s="75">
        <v>707.0</v>
      </c>
      <c r="M27" s="75">
        <v>6993.0</v>
      </c>
      <c r="N27" s="75">
        <v>150.0</v>
      </c>
      <c r="O27" s="75">
        <v>17.0</v>
      </c>
      <c r="P27" s="75">
        <v>0.0</v>
      </c>
      <c r="Q27" s="7">
        <f t="shared" si="7"/>
        <v>15452</v>
      </c>
      <c r="R27" s="76">
        <f t="shared" si="2"/>
        <v>0</v>
      </c>
      <c r="S27" s="76">
        <f t="shared" si="3"/>
        <v>980</v>
      </c>
      <c r="T27" s="76">
        <f t="shared" si="4"/>
        <v>7160</v>
      </c>
      <c r="U27" s="77">
        <f t="shared" si="5"/>
        <v>15452</v>
      </c>
    </row>
    <row r="28" ht="19.5" customHeight="1">
      <c r="A28" s="38"/>
      <c r="B28" s="4">
        <v>6104.0</v>
      </c>
      <c r="C28" s="5" t="s">
        <v>37</v>
      </c>
      <c r="D28" s="75">
        <v>17.0</v>
      </c>
      <c r="E28" s="75">
        <v>730.0</v>
      </c>
      <c r="F28" s="75">
        <v>6282.0</v>
      </c>
      <c r="G28" s="75">
        <v>2016.0</v>
      </c>
      <c r="H28" s="75">
        <v>455.0</v>
      </c>
      <c r="I28" s="75">
        <v>447.0</v>
      </c>
      <c r="J28" s="75">
        <v>3142.0</v>
      </c>
      <c r="K28" s="75">
        <v>0.0</v>
      </c>
      <c r="L28" s="75">
        <v>854.0</v>
      </c>
      <c r="M28" s="75">
        <v>8414.0</v>
      </c>
      <c r="N28" s="75">
        <v>102.0</v>
      </c>
      <c r="O28" s="75">
        <v>0.0</v>
      </c>
      <c r="P28" s="75">
        <v>0.0</v>
      </c>
      <c r="Q28" s="7">
        <f t="shared" si="7"/>
        <v>22459</v>
      </c>
      <c r="R28" s="76">
        <f t="shared" si="2"/>
        <v>902</v>
      </c>
      <c r="S28" s="76">
        <f t="shared" si="3"/>
        <v>3996</v>
      </c>
      <c r="T28" s="76">
        <f t="shared" si="4"/>
        <v>8516</v>
      </c>
      <c r="U28" s="77">
        <f t="shared" si="5"/>
        <v>22459</v>
      </c>
    </row>
    <row r="29" ht="19.5" customHeight="1">
      <c r="A29" s="38"/>
      <c r="B29" s="4">
        <v>6105.0</v>
      </c>
      <c r="C29" s="5" t="s">
        <v>39</v>
      </c>
      <c r="D29" s="75">
        <v>10.0</v>
      </c>
      <c r="E29" s="75">
        <v>738.0</v>
      </c>
      <c r="F29" s="75">
        <v>4925.0</v>
      </c>
      <c r="G29" s="75">
        <v>2006.0</v>
      </c>
      <c r="H29" s="75">
        <v>8.0</v>
      </c>
      <c r="I29" s="75">
        <v>17.0</v>
      </c>
      <c r="J29" s="75">
        <v>172.0</v>
      </c>
      <c r="K29" s="75">
        <v>0.0</v>
      </c>
      <c r="L29" s="75">
        <v>972.0</v>
      </c>
      <c r="M29" s="75">
        <v>4395.0</v>
      </c>
      <c r="N29" s="75">
        <v>170.0</v>
      </c>
      <c r="O29" s="75">
        <v>7.0</v>
      </c>
      <c r="P29" s="75">
        <v>0.0</v>
      </c>
      <c r="Q29" s="7">
        <f t="shared" si="7"/>
        <v>13420</v>
      </c>
      <c r="R29" s="76">
        <f t="shared" si="2"/>
        <v>25</v>
      </c>
      <c r="S29" s="76">
        <f t="shared" si="3"/>
        <v>1144</v>
      </c>
      <c r="T29" s="76">
        <f t="shared" si="4"/>
        <v>4572</v>
      </c>
      <c r="U29" s="77">
        <f t="shared" si="5"/>
        <v>13420</v>
      </c>
    </row>
    <row r="30" ht="19.5" customHeight="1">
      <c r="A30" s="38"/>
      <c r="B30" s="4">
        <v>6106.0</v>
      </c>
      <c r="C30" s="5" t="s">
        <v>40</v>
      </c>
      <c r="D30" s="75">
        <v>10.0</v>
      </c>
      <c r="E30" s="75">
        <v>717.0</v>
      </c>
      <c r="F30" s="75">
        <v>3746.0</v>
      </c>
      <c r="G30" s="75">
        <v>1266.0</v>
      </c>
      <c r="H30" s="75">
        <v>11.0</v>
      </c>
      <c r="I30" s="75">
        <v>0.0</v>
      </c>
      <c r="J30" s="75">
        <v>105.0</v>
      </c>
      <c r="K30" s="75">
        <v>1.0</v>
      </c>
      <c r="L30" s="75">
        <v>400.0</v>
      </c>
      <c r="M30" s="75">
        <v>1686.0</v>
      </c>
      <c r="N30" s="75">
        <v>64.0</v>
      </c>
      <c r="O30" s="75">
        <v>1.0</v>
      </c>
      <c r="P30" s="75">
        <v>0.0</v>
      </c>
      <c r="Q30" s="7">
        <f t="shared" si="7"/>
        <v>8007</v>
      </c>
      <c r="R30" s="76">
        <f t="shared" si="2"/>
        <v>11</v>
      </c>
      <c r="S30" s="76">
        <f t="shared" si="3"/>
        <v>506</v>
      </c>
      <c r="T30" s="76">
        <f t="shared" si="4"/>
        <v>1751</v>
      </c>
      <c r="U30" s="77">
        <f t="shared" si="5"/>
        <v>8007</v>
      </c>
    </row>
    <row r="31" ht="19.5" customHeight="1">
      <c r="A31" s="38"/>
      <c r="B31" s="4">
        <v>6107.0</v>
      </c>
      <c r="C31" s="5" t="s">
        <v>41</v>
      </c>
      <c r="D31" s="75">
        <v>15.0</v>
      </c>
      <c r="E31" s="75">
        <v>676.0</v>
      </c>
      <c r="F31" s="75">
        <v>5069.0</v>
      </c>
      <c r="G31" s="75">
        <v>2369.0</v>
      </c>
      <c r="H31" s="75">
        <v>3.0</v>
      </c>
      <c r="I31" s="75">
        <v>3.0</v>
      </c>
      <c r="J31" s="75">
        <v>126.0</v>
      </c>
      <c r="K31" s="75">
        <v>0.0</v>
      </c>
      <c r="L31" s="75">
        <v>329.0</v>
      </c>
      <c r="M31" s="75">
        <v>3590.0</v>
      </c>
      <c r="N31" s="75">
        <v>53.0</v>
      </c>
      <c r="O31" s="75">
        <v>0.0</v>
      </c>
      <c r="P31" s="75">
        <v>0.0</v>
      </c>
      <c r="Q31" s="7">
        <f t="shared" si="7"/>
        <v>12233</v>
      </c>
      <c r="R31" s="76">
        <f t="shared" si="2"/>
        <v>6</v>
      </c>
      <c r="S31" s="76">
        <f t="shared" si="3"/>
        <v>455</v>
      </c>
      <c r="T31" s="76">
        <f t="shared" si="4"/>
        <v>3643</v>
      </c>
      <c r="U31" s="77">
        <f t="shared" si="5"/>
        <v>12233</v>
      </c>
    </row>
    <row r="32" ht="19.5" customHeight="1">
      <c r="A32" s="38"/>
      <c r="B32" s="4">
        <v>6108.0</v>
      </c>
      <c r="C32" s="5" t="s">
        <v>42</v>
      </c>
      <c r="D32" s="75">
        <v>31.0</v>
      </c>
      <c r="E32" s="75">
        <v>1385.0</v>
      </c>
      <c r="F32" s="75">
        <v>5972.0</v>
      </c>
      <c r="G32" s="75">
        <v>2906.0</v>
      </c>
      <c r="H32" s="75">
        <v>23.0</v>
      </c>
      <c r="I32" s="75">
        <v>0.0</v>
      </c>
      <c r="J32" s="75">
        <v>139.0</v>
      </c>
      <c r="K32" s="75">
        <v>4.0</v>
      </c>
      <c r="L32" s="75">
        <v>628.0</v>
      </c>
      <c r="M32" s="75">
        <v>7911.0</v>
      </c>
      <c r="N32" s="75">
        <v>153.0</v>
      </c>
      <c r="O32" s="75">
        <v>6.0</v>
      </c>
      <c r="P32" s="75">
        <v>0.0</v>
      </c>
      <c r="Q32" s="7">
        <f t="shared" si="7"/>
        <v>19158</v>
      </c>
      <c r="R32" s="76">
        <f t="shared" si="2"/>
        <v>23</v>
      </c>
      <c r="S32" s="76">
        <f t="shared" si="3"/>
        <v>771</v>
      </c>
      <c r="T32" s="76">
        <f t="shared" si="4"/>
        <v>8070</v>
      </c>
      <c r="U32" s="77">
        <f t="shared" si="5"/>
        <v>19158</v>
      </c>
    </row>
    <row r="33" ht="19.5" customHeight="1">
      <c r="A33" s="38"/>
      <c r="B33" s="4">
        <v>6109.0</v>
      </c>
      <c r="C33" s="5" t="s">
        <v>43</v>
      </c>
      <c r="D33" s="75">
        <v>4.0</v>
      </c>
      <c r="E33" s="75">
        <v>485.0</v>
      </c>
      <c r="F33" s="75">
        <v>3743.0</v>
      </c>
      <c r="G33" s="75">
        <v>2301.0</v>
      </c>
      <c r="H33" s="75">
        <v>2.0</v>
      </c>
      <c r="I33" s="75">
        <v>0.0</v>
      </c>
      <c r="J33" s="75">
        <v>53.0</v>
      </c>
      <c r="K33" s="75">
        <v>0.0</v>
      </c>
      <c r="L33" s="75">
        <v>386.0</v>
      </c>
      <c r="M33" s="75">
        <v>2935.0</v>
      </c>
      <c r="N33" s="75">
        <v>57.0</v>
      </c>
      <c r="O33" s="75">
        <v>4.0</v>
      </c>
      <c r="P33" s="75">
        <v>0.0</v>
      </c>
      <c r="Q33" s="7">
        <f t="shared" si="7"/>
        <v>9970</v>
      </c>
      <c r="R33" s="76">
        <f t="shared" si="2"/>
        <v>2</v>
      </c>
      <c r="S33" s="76">
        <f t="shared" si="3"/>
        <v>439</v>
      </c>
      <c r="T33" s="76">
        <f t="shared" si="4"/>
        <v>2996</v>
      </c>
      <c r="U33" s="77">
        <f t="shared" si="5"/>
        <v>9970</v>
      </c>
    </row>
    <row r="34" ht="19.5" customHeight="1">
      <c r="A34" s="38"/>
      <c r="B34" s="4">
        <v>6110.0</v>
      </c>
      <c r="C34" s="5" t="s">
        <v>44</v>
      </c>
      <c r="D34" s="75">
        <v>17.0</v>
      </c>
      <c r="E34" s="75">
        <v>874.0</v>
      </c>
      <c r="F34" s="75">
        <v>5688.0</v>
      </c>
      <c r="G34" s="75">
        <v>3596.0</v>
      </c>
      <c r="H34" s="75">
        <v>43.0</v>
      </c>
      <c r="I34" s="75">
        <v>28.0</v>
      </c>
      <c r="J34" s="75">
        <v>615.0</v>
      </c>
      <c r="K34" s="75">
        <v>1.0</v>
      </c>
      <c r="L34" s="75">
        <v>2032.0</v>
      </c>
      <c r="M34" s="75">
        <v>7054.0</v>
      </c>
      <c r="N34" s="75">
        <v>206.0</v>
      </c>
      <c r="O34" s="75">
        <v>0.0</v>
      </c>
      <c r="P34" s="75">
        <v>0.0</v>
      </c>
      <c r="Q34" s="7">
        <f t="shared" si="7"/>
        <v>20154</v>
      </c>
      <c r="R34" s="76">
        <f t="shared" si="2"/>
        <v>71</v>
      </c>
      <c r="S34" s="76">
        <f t="shared" si="3"/>
        <v>2648</v>
      </c>
      <c r="T34" s="76">
        <f t="shared" si="4"/>
        <v>7260</v>
      </c>
      <c r="U34" s="77">
        <f t="shared" si="5"/>
        <v>20154</v>
      </c>
    </row>
    <row r="35" ht="19.5" customHeight="1">
      <c r="A35" s="38"/>
      <c r="B35" s="4">
        <v>6111.0</v>
      </c>
      <c r="C35" s="44" t="s">
        <v>45</v>
      </c>
      <c r="D35" s="82">
        <v>1.0</v>
      </c>
      <c r="E35" s="82">
        <v>411.0</v>
      </c>
      <c r="F35" s="82">
        <v>4714.0</v>
      </c>
      <c r="G35" s="82">
        <v>2441.0</v>
      </c>
      <c r="H35" s="82">
        <v>4.0</v>
      </c>
      <c r="I35" s="82">
        <v>3.0</v>
      </c>
      <c r="J35" s="82">
        <v>112.0</v>
      </c>
      <c r="K35" s="82">
        <v>0.0</v>
      </c>
      <c r="L35" s="82">
        <v>861.0</v>
      </c>
      <c r="M35" s="82">
        <v>3678.0</v>
      </c>
      <c r="N35" s="82">
        <v>186.0</v>
      </c>
      <c r="O35" s="82">
        <v>0.0</v>
      </c>
      <c r="P35" s="82">
        <v>0.0</v>
      </c>
      <c r="Q35" s="83">
        <f t="shared" si="7"/>
        <v>12411</v>
      </c>
      <c r="R35" s="84">
        <f t="shared" si="2"/>
        <v>7</v>
      </c>
      <c r="S35" s="84">
        <f t="shared" si="3"/>
        <v>973</v>
      </c>
      <c r="T35" s="84">
        <f t="shared" si="4"/>
        <v>3864</v>
      </c>
      <c r="U35" s="85">
        <f t="shared" si="5"/>
        <v>12411</v>
      </c>
      <c r="V35" s="86"/>
      <c r="W35" s="86"/>
      <c r="X35" s="86"/>
      <c r="Y35" s="86"/>
      <c r="Z35" s="86"/>
    </row>
    <row r="36" ht="19.5" customHeight="1">
      <c r="A36" s="38"/>
      <c r="B36" s="4">
        <v>6112.0</v>
      </c>
      <c r="C36" s="44" t="s">
        <v>46</v>
      </c>
      <c r="D36" s="82">
        <v>9.0</v>
      </c>
      <c r="E36" s="82">
        <v>448.0</v>
      </c>
      <c r="F36" s="82">
        <v>3718.0</v>
      </c>
      <c r="G36" s="82">
        <v>1675.0</v>
      </c>
      <c r="H36" s="82">
        <v>1.0</v>
      </c>
      <c r="I36" s="82">
        <v>0.0</v>
      </c>
      <c r="J36" s="82">
        <v>108.0</v>
      </c>
      <c r="K36" s="82">
        <v>0.0</v>
      </c>
      <c r="L36" s="82">
        <v>417.0</v>
      </c>
      <c r="M36" s="82">
        <v>3360.0</v>
      </c>
      <c r="N36" s="82">
        <v>134.0</v>
      </c>
      <c r="O36" s="82">
        <v>2.0</v>
      </c>
      <c r="P36" s="82">
        <v>0.0</v>
      </c>
      <c r="Q36" s="83">
        <f t="shared" si="7"/>
        <v>9872</v>
      </c>
      <c r="R36" s="84">
        <f t="shared" si="2"/>
        <v>1</v>
      </c>
      <c r="S36" s="84">
        <f t="shared" si="3"/>
        <v>525</v>
      </c>
      <c r="T36" s="84">
        <f t="shared" si="4"/>
        <v>3496</v>
      </c>
      <c r="U36" s="85">
        <f t="shared" si="5"/>
        <v>9872</v>
      </c>
    </row>
    <row r="37" ht="19.5" customHeight="1">
      <c r="A37" s="38"/>
      <c r="B37" s="4">
        <v>6113.0</v>
      </c>
      <c r="C37" s="44" t="s">
        <v>47</v>
      </c>
      <c r="D37" s="82">
        <v>10.0</v>
      </c>
      <c r="E37" s="82">
        <v>654.0</v>
      </c>
      <c r="F37" s="82">
        <v>4768.0</v>
      </c>
      <c r="G37" s="82">
        <v>2763.0</v>
      </c>
      <c r="H37" s="82">
        <v>102.0</v>
      </c>
      <c r="I37" s="82">
        <v>259.0</v>
      </c>
      <c r="J37" s="82">
        <v>1062.0</v>
      </c>
      <c r="K37" s="82">
        <v>1.0</v>
      </c>
      <c r="L37" s="82">
        <v>1858.0</v>
      </c>
      <c r="M37" s="82">
        <v>6720.0</v>
      </c>
      <c r="N37" s="82">
        <v>275.0</v>
      </c>
      <c r="O37" s="82">
        <v>1.0</v>
      </c>
      <c r="P37" s="82">
        <v>0.0</v>
      </c>
      <c r="Q37" s="83">
        <f t="shared" si="7"/>
        <v>18473</v>
      </c>
      <c r="R37" s="84">
        <f t="shared" si="2"/>
        <v>361</v>
      </c>
      <c r="S37" s="84">
        <f t="shared" si="3"/>
        <v>2921</v>
      </c>
      <c r="T37" s="84">
        <f t="shared" si="4"/>
        <v>6996</v>
      </c>
      <c r="U37" s="85">
        <f t="shared" si="5"/>
        <v>18473</v>
      </c>
    </row>
    <row r="38" ht="19.5" customHeight="1">
      <c r="A38" s="38"/>
      <c r="B38" s="4">
        <v>6114.0</v>
      </c>
      <c r="C38" s="44" t="s">
        <v>48</v>
      </c>
      <c r="D38" s="82">
        <v>8.0</v>
      </c>
      <c r="E38" s="82">
        <v>628.0</v>
      </c>
      <c r="F38" s="82">
        <v>4143.0</v>
      </c>
      <c r="G38" s="82">
        <v>2882.0</v>
      </c>
      <c r="H38" s="82">
        <v>19.0</v>
      </c>
      <c r="I38" s="82">
        <v>29.0</v>
      </c>
      <c r="J38" s="82">
        <v>439.0</v>
      </c>
      <c r="K38" s="82">
        <v>10.0</v>
      </c>
      <c r="L38" s="82">
        <v>141.0</v>
      </c>
      <c r="M38" s="82">
        <v>3003.0</v>
      </c>
      <c r="N38" s="82">
        <v>48.0</v>
      </c>
      <c r="O38" s="82">
        <v>1.0</v>
      </c>
      <c r="P38" s="82">
        <v>0.0</v>
      </c>
      <c r="Q38" s="83">
        <f t="shared" si="7"/>
        <v>11351</v>
      </c>
      <c r="R38" s="84">
        <f t="shared" si="2"/>
        <v>48</v>
      </c>
      <c r="S38" s="84">
        <f t="shared" si="3"/>
        <v>590</v>
      </c>
      <c r="T38" s="84">
        <f t="shared" si="4"/>
        <v>3052</v>
      </c>
      <c r="U38" s="85">
        <f t="shared" si="5"/>
        <v>11351</v>
      </c>
    </row>
    <row r="39" ht="19.5" customHeight="1">
      <c r="A39" s="38"/>
      <c r="B39" s="4">
        <v>6115.0</v>
      </c>
      <c r="C39" s="44" t="s">
        <v>49</v>
      </c>
      <c r="D39" s="82">
        <v>20.0</v>
      </c>
      <c r="E39" s="82">
        <v>888.0</v>
      </c>
      <c r="F39" s="82">
        <v>5004.0</v>
      </c>
      <c r="G39" s="82">
        <v>2233.0</v>
      </c>
      <c r="H39" s="82">
        <v>2.0</v>
      </c>
      <c r="I39" s="82">
        <v>0.0</v>
      </c>
      <c r="J39" s="82">
        <v>95.0</v>
      </c>
      <c r="K39" s="82">
        <v>0.0</v>
      </c>
      <c r="L39" s="82">
        <v>316.0</v>
      </c>
      <c r="M39" s="82">
        <v>3117.0</v>
      </c>
      <c r="N39" s="82">
        <v>65.0</v>
      </c>
      <c r="O39" s="82">
        <v>0.0</v>
      </c>
      <c r="P39" s="82">
        <v>0.0</v>
      </c>
      <c r="Q39" s="83">
        <f t="shared" si="7"/>
        <v>11740</v>
      </c>
      <c r="R39" s="84">
        <f t="shared" si="2"/>
        <v>2</v>
      </c>
      <c r="S39" s="84">
        <f t="shared" si="3"/>
        <v>411</v>
      </c>
      <c r="T39" s="84">
        <f t="shared" si="4"/>
        <v>3182</v>
      </c>
      <c r="U39" s="85">
        <f t="shared" si="5"/>
        <v>11740</v>
      </c>
    </row>
    <row r="40" ht="19.5" customHeight="1">
      <c r="A40" s="38"/>
      <c r="B40" s="4">
        <v>6116.0</v>
      </c>
      <c r="C40" s="5" t="s">
        <v>50</v>
      </c>
      <c r="D40" s="75">
        <v>6.0</v>
      </c>
      <c r="E40" s="75">
        <v>1338.0</v>
      </c>
      <c r="F40" s="75">
        <v>4568.0</v>
      </c>
      <c r="G40" s="75">
        <v>2011.0</v>
      </c>
      <c r="H40" s="75">
        <v>1.0</v>
      </c>
      <c r="I40" s="75">
        <v>1.0</v>
      </c>
      <c r="J40" s="75">
        <v>219.0</v>
      </c>
      <c r="K40" s="75">
        <v>0.0</v>
      </c>
      <c r="L40" s="75">
        <v>142.0</v>
      </c>
      <c r="M40" s="75">
        <v>3782.0</v>
      </c>
      <c r="N40" s="75">
        <v>15.0</v>
      </c>
      <c r="O40" s="75">
        <v>5.0</v>
      </c>
      <c r="P40" s="75">
        <v>0.0</v>
      </c>
      <c r="Q40" s="7">
        <f t="shared" si="7"/>
        <v>12088</v>
      </c>
      <c r="R40" s="76">
        <f t="shared" si="2"/>
        <v>2</v>
      </c>
      <c r="S40" s="76">
        <f t="shared" si="3"/>
        <v>361</v>
      </c>
      <c r="T40" s="76">
        <f t="shared" si="4"/>
        <v>3802</v>
      </c>
      <c r="U40" s="77">
        <f t="shared" si="5"/>
        <v>12088</v>
      </c>
    </row>
    <row r="41" ht="19.5" customHeight="1">
      <c r="A41" s="38"/>
      <c r="B41" s="87">
        <v>6117.0</v>
      </c>
      <c r="C41" s="88" t="s">
        <v>51</v>
      </c>
      <c r="D41" s="89">
        <v>15.0</v>
      </c>
      <c r="E41" s="89">
        <v>401.0</v>
      </c>
      <c r="F41" s="89">
        <v>3084.0</v>
      </c>
      <c r="G41" s="89">
        <v>1600.0</v>
      </c>
      <c r="H41" s="89">
        <v>2.0</v>
      </c>
      <c r="I41" s="89">
        <v>6.0</v>
      </c>
      <c r="J41" s="89">
        <v>288.0</v>
      </c>
      <c r="K41" s="89">
        <v>0.0</v>
      </c>
      <c r="L41" s="89">
        <v>214.0</v>
      </c>
      <c r="M41" s="89">
        <v>2803.0</v>
      </c>
      <c r="N41" s="89">
        <v>60.0</v>
      </c>
      <c r="O41" s="89">
        <v>0.0</v>
      </c>
      <c r="P41" s="89">
        <v>0.0</v>
      </c>
      <c r="Q41" s="90">
        <f t="shared" si="7"/>
        <v>8473</v>
      </c>
      <c r="R41" s="91">
        <f t="shared" si="2"/>
        <v>8</v>
      </c>
      <c r="S41" s="91">
        <f t="shared" si="3"/>
        <v>502</v>
      </c>
      <c r="T41" s="91">
        <f t="shared" si="4"/>
        <v>2863</v>
      </c>
      <c r="U41" s="92">
        <f t="shared" si="5"/>
        <v>8473</v>
      </c>
    </row>
    <row r="42" ht="19.5" customHeight="1">
      <c r="A42" s="38"/>
      <c r="B42" s="4">
        <v>6118.0</v>
      </c>
      <c r="C42" s="5" t="s">
        <v>52</v>
      </c>
      <c r="D42" s="75">
        <v>1.0</v>
      </c>
      <c r="E42" s="75">
        <v>391.0</v>
      </c>
      <c r="F42" s="75">
        <v>1958.0</v>
      </c>
      <c r="G42" s="75">
        <v>486.0</v>
      </c>
      <c r="H42" s="75">
        <v>1.0</v>
      </c>
      <c r="I42" s="75">
        <v>0.0</v>
      </c>
      <c r="J42" s="75">
        <v>16.0</v>
      </c>
      <c r="K42" s="75">
        <v>0.0</v>
      </c>
      <c r="L42" s="75">
        <v>183.0</v>
      </c>
      <c r="M42" s="75">
        <v>1586.0</v>
      </c>
      <c r="N42" s="75">
        <v>49.0</v>
      </c>
      <c r="O42" s="75">
        <v>5.0</v>
      </c>
      <c r="P42" s="75">
        <v>0.0</v>
      </c>
      <c r="Q42" s="7">
        <f t="shared" si="7"/>
        <v>4676</v>
      </c>
      <c r="R42" s="76">
        <f t="shared" si="2"/>
        <v>1</v>
      </c>
      <c r="S42" s="76">
        <f t="shared" si="3"/>
        <v>199</v>
      </c>
      <c r="T42" s="76">
        <f t="shared" si="4"/>
        <v>1640</v>
      </c>
      <c r="U42" s="77">
        <f t="shared" si="5"/>
        <v>4676</v>
      </c>
    </row>
    <row r="43" ht="19.5" customHeight="1">
      <c r="A43" s="38"/>
      <c r="B43" s="4">
        <v>6171.0</v>
      </c>
      <c r="C43" s="5" t="s">
        <v>53</v>
      </c>
      <c r="D43" s="75">
        <v>8.0</v>
      </c>
      <c r="E43" s="75">
        <v>804.0</v>
      </c>
      <c r="F43" s="75">
        <v>7062.0</v>
      </c>
      <c r="G43" s="75">
        <v>2322.0</v>
      </c>
      <c r="H43" s="75">
        <v>0.0</v>
      </c>
      <c r="I43" s="75">
        <v>0.0</v>
      </c>
      <c r="J43" s="75">
        <v>143.0</v>
      </c>
      <c r="K43" s="75">
        <v>0.0</v>
      </c>
      <c r="L43" s="75">
        <v>915.0</v>
      </c>
      <c r="M43" s="75">
        <v>4440.0</v>
      </c>
      <c r="N43" s="75">
        <v>329.0</v>
      </c>
      <c r="O43" s="75">
        <v>3.0</v>
      </c>
      <c r="P43" s="75">
        <v>0.0</v>
      </c>
      <c r="Q43" s="7">
        <f t="shared" si="7"/>
        <v>16026</v>
      </c>
      <c r="R43" s="76">
        <f t="shared" si="2"/>
        <v>0</v>
      </c>
      <c r="S43" s="76">
        <f t="shared" si="3"/>
        <v>1058</v>
      </c>
      <c r="T43" s="76">
        <f t="shared" si="4"/>
        <v>4772</v>
      </c>
      <c r="U43" s="77">
        <f t="shared" si="5"/>
        <v>16026</v>
      </c>
    </row>
    <row r="44" ht="19.5" customHeight="1">
      <c r="A44" s="38"/>
      <c r="B44" s="4">
        <v>6172.0</v>
      </c>
      <c r="C44" s="5" t="s">
        <v>54</v>
      </c>
      <c r="D44" s="75">
        <v>34.0</v>
      </c>
      <c r="E44" s="75">
        <v>835.0</v>
      </c>
      <c r="F44" s="75">
        <v>3352.0</v>
      </c>
      <c r="G44" s="75">
        <v>1198.0</v>
      </c>
      <c r="H44" s="75">
        <v>6.0</v>
      </c>
      <c r="I44" s="75">
        <v>0.0</v>
      </c>
      <c r="J44" s="75">
        <v>83.0</v>
      </c>
      <c r="K44" s="75">
        <v>0.0</v>
      </c>
      <c r="L44" s="75">
        <v>156.0</v>
      </c>
      <c r="M44" s="75">
        <v>2152.0</v>
      </c>
      <c r="N44" s="75">
        <v>19.0</v>
      </c>
      <c r="O44" s="75">
        <v>0.0</v>
      </c>
      <c r="P44" s="75">
        <v>0.0</v>
      </c>
      <c r="Q44" s="7">
        <f t="shared" si="7"/>
        <v>7835</v>
      </c>
      <c r="R44" s="76">
        <f t="shared" si="2"/>
        <v>6</v>
      </c>
      <c r="S44" s="76">
        <f t="shared" si="3"/>
        <v>239</v>
      </c>
      <c r="T44" s="76">
        <f t="shared" si="4"/>
        <v>2171</v>
      </c>
      <c r="U44" s="77">
        <f t="shared" si="5"/>
        <v>7835</v>
      </c>
    </row>
    <row r="45" ht="19.5" customHeight="1">
      <c r="A45" s="38"/>
      <c r="B45" s="4">
        <v>6173.0</v>
      </c>
      <c r="C45" s="5" t="s">
        <v>55</v>
      </c>
      <c r="D45" s="75">
        <v>0.0</v>
      </c>
      <c r="E45" s="75">
        <v>254.0</v>
      </c>
      <c r="F45" s="75">
        <v>1849.0</v>
      </c>
      <c r="G45" s="75">
        <v>683.0</v>
      </c>
      <c r="H45" s="75">
        <v>0.0</v>
      </c>
      <c r="I45" s="75">
        <v>0.0</v>
      </c>
      <c r="J45" s="75">
        <v>14.0</v>
      </c>
      <c r="K45" s="75">
        <v>0.0</v>
      </c>
      <c r="L45" s="75">
        <v>87.0</v>
      </c>
      <c r="M45" s="75">
        <v>730.0</v>
      </c>
      <c r="N45" s="75">
        <v>25.0</v>
      </c>
      <c r="O45" s="75">
        <v>0.0</v>
      </c>
      <c r="P45" s="75">
        <v>0.0</v>
      </c>
      <c r="Q45" s="7">
        <f t="shared" si="7"/>
        <v>3642</v>
      </c>
      <c r="R45" s="76">
        <f t="shared" si="2"/>
        <v>0</v>
      </c>
      <c r="S45" s="76">
        <f t="shared" si="3"/>
        <v>101</v>
      </c>
      <c r="T45" s="76">
        <f t="shared" si="4"/>
        <v>755</v>
      </c>
      <c r="U45" s="77">
        <f t="shared" si="5"/>
        <v>3642</v>
      </c>
    </row>
    <row r="46" ht="19.5" customHeight="1">
      <c r="A46" s="38"/>
      <c r="B46" s="4">
        <v>6174.0</v>
      </c>
      <c r="C46" s="5" t="s">
        <v>56</v>
      </c>
      <c r="D46" s="75">
        <v>7.0</v>
      </c>
      <c r="E46" s="75">
        <v>372.0</v>
      </c>
      <c r="F46" s="75">
        <v>2488.0</v>
      </c>
      <c r="G46" s="75">
        <v>873.0</v>
      </c>
      <c r="H46" s="75">
        <v>16.0</v>
      </c>
      <c r="I46" s="75">
        <v>4.0</v>
      </c>
      <c r="J46" s="75">
        <v>322.0</v>
      </c>
      <c r="K46" s="75">
        <v>0.0</v>
      </c>
      <c r="L46" s="75">
        <v>239.0</v>
      </c>
      <c r="M46" s="75">
        <v>1389.0</v>
      </c>
      <c r="N46" s="75">
        <v>55.0</v>
      </c>
      <c r="O46" s="75">
        <v>7.0</v>
      </c>
      <c r="P46" s="75">
        <v>0.0</v>
      </c>
      <c r="Q46" s="7">
        <f t="shared" si="7"/>
        <v>5772</v>
      </c>
      <c r="R46" s="76">
        <f t="shared" si="2"/>
        <v>20</v>
      </c>
      <c r="S46" s="76">
        <f t="shared" si="3"/>
        <v>561</v>
      </c>
      <c r="T46" s="76">
        <f t="shared" si="4"/>
        <v>1451</v>
      </c>
      <c r="U46" s="77">
        <f t="shared" si="5"/>
        <v>5772</v>
      </c>
    </row>
    <row r="47" ht="19.5" customHeight="1">
      <c r="A47" s="38"/>
      <c r="B47" s="4">
        <v>6175.0</v>
      </c>
      <c r="C47" s="5" t="s">
        <v>57</v>
      </c>
      <c r="D47" s="75">
        <v>36.0</v>
      </c>
      <c r="E47" s="75">
        <v>980.0</v>
      </c>
      <c r="F47" s="75">
        <v>4961.0</v>
      </c>
      <c r="G47" s="75">
        <v>1669.0</v>
      </c>
      <c r="H47" s="75">
        <v>82.0</v>
      </c>
      <c r="I47" s="75">
        <v>159.0</v>
      </c>
      <c r="J47" s="75">
        <v>3901.0</v>
      </c>
      <c r="K47" s="75">
        <v>68.0</v>
      </c>
      <c r="L47" s="75">
        <v>919.0</v>
      </c>
      <c r="M47" s="75">
        <v>6429.0</v>
      </c>
      <c r="N47" s="75">
        <v>41.0</v>
      </c>
      <c r="O47" s="75">
        <v>2.0</v>
      </c>
      <c r="P47" s="75">
        <v>0.0</v>
      </c>
      <c r="Q47" s="7">
        <f t="shared" si="7"/>
        <v>19247</v>
      </c>
      <c r="R47" s="76">
        <f t="shared" si="2"/>
        <v>241</v>
      </c>
      <c r="S47" s="76">
        <f t="shared" si="3"/>
        <v>4888</v>
      </c>
      <c r="T47" s="76">
        <f t="shared" si="4"/>
        <v>6472</v>
      </c>
      <c r="U47" s="77">
        <f t="shared" si="5"/>
        <v>19247</v>
      </c>
    </row>
    <row r="48" ht="19.5" customHeight="1">
      <c r="A48" s="38"/>
      <c r="B48" s="4">
        <v>6176.0</v>
      </c>
      <c r="C48" s="5" t="s">
        <v>58</v>
      </c>
      <c r="D48" s="75">
        <v>3.0</v>
      </c>
      <c r="E48" s="75">
        <v>584.0</v>
      </c>
      <c r="F48" s="75">
        <v>3689.0</v>
      </c>
      <c r="G48" s="75">
        <v>1037.0</v>
      </c>
      <c r="H48" s="75">
        <v>0.0</v>
      </c>
      <c r="I48" s="75">
        <v>0.0</v>
      </c>
      <c r="J48" s="75">
        <v>23.0</v>
      </c>
      <c r="K48" s="75">
        <v>0.0</v>
      </c>
      <c r="L48" s="75">
        <v>274.0</v>
      </c>
      <c r="M48" s="75">
        <v>1545.0</v>
      </c>
      <c r="N48" s="75">
        <v>85.0</v>
      </c>
      <c r="O48" s="75">
        <v>2.0</v>
      </c>
      <c r="P48" s="75">
        <v>0.0</v>
      </c>
      <c r="Q48" s="7">
        <f t="shared" si="7"/>
        <v>7242</v>
      </c>
      <c r="R48" s="76">
        <f t="shared" si="2"/>
        <v>0</v>
      </c>
      <c r="S48" s="76">
        <f t="shared" si="3"/>
        <v>297</v>
      </c>
      <c r="T48" s="76">
        <f t="shared" si="4"/>
        <v>1632</v>
      </c>
      <c r="U48" s="77">
        <f t="shared" si="5"/>
        <v>7242</v>
      </c>
    </row>
    <row r="49" ht="19.5" customHeight="1">
      <c r="A49" s="38"/>
      <c r="B49" s="4">
        <v>6177.0</v>
      </c>
      <c r="C49" s="5" t="s">
        <v>59</v>
      </c>
      <c r="D49" s="75">
        <v>7.0</v>
      </c>
      <c r="E49" s="75">
        <v>338.0</v>
      </c>
      <c r="F49" s="75">
        <v>2337.0</v>
      </c>
      <c r="G49" s="75">
        <v>733.0</v>
      </c>
      <c r="H49" s="75">
        <v>361.0</v>
      </c>
      <c r="I49" s="75">
        <v>0.0</v>
      </c>
      <c r="J49" s="75">
        <v>842.0</v>
      </c>
      <c r="K49" s="75">
        <v>2.0</v>
      </c>
      <c r="L49" s="75">
        <v>131.0</v>
      </c>
      <c r="M49" s="75">
        <v>1543.0</v>
      </c>
      <c r="N49" s="75">
        <v>15.0</v>
      </c>
      <c r="O49" s="75">
        <v>2.0</v>
      </c>
      <c r="P49" s="75">
        <v>0.0</v>
      </c>
      <c r="Q49" s="7">
        <f t="shared" si="7"/>
        <v>6311</v>
      </c>
      <c r="R49" s="76">
        <f t="shared" si="2"/>
        <v>361</v>
      </c>
      <c r="S49" s="76">
        <f t="shared" si="3"/>
        <v>975</v>
      </c>
      <c r="T49" s="76">
        <f t="shared" si="4"/>
        <v>1560</v>
      </c>
      <c r="U49" s="77">
        <f t="shared" si="5"/>
        <v>6311</v>
      </c>
    </row>
    <row r="50" ht="19.5" customHeight="1">
      <c r="A50" s="38"/>
      <c r="B50" s="4">
        <v>6178.0</v>
      </c>
      <c r="C50" s="5" t="s">
        <v>60</v>
      </c>
      <c r="D50" s="75">
        <v>4.0</v>
      </c>
      <c r="E50" s="75">
        <v>685.0</v>
      </c>
      <c r="F50" s="75">
        <v>2975.0</v>
      </c>
      <c r="G50" s="75">
        <v>1337.0</v>
      </c>
      <c r="H50" s="75">
        <v>1.0</v>
      </c>
      <c r="I50" s="75">
        <v>0.0</v>
      </c>
      <c r="J50" s="75">
        <v>43.0</v>
      </c>
      <c r="K50" s="75">
        <v>0.0</v>
      </c>
      <c r="L50" s="75">
        <v>108.0</v>
      </c>
      <c r="M50" s="75">
        <v>1283.0</v>
      </c>
      <c r="N50" s="75">
        <v>29.0</v>
      </c>
      <c r="O50" s="75">
        <v>1.0</v>
      </c>
      <c r="P50" s="75">
        <v>0.0</v>
      </c>
      <c r="Q50" s="7">
        <f t="shared" si="7"/>
        <v>6466</v>
      </c>
      <c r="R50" s="76">
        <f t="shared" si="2"/>
        <v>1</v>
      </c>
      <c r="S50" s="76">
        <f t="shared" si="3"/>
        <v>151</v>
      </c>
      <c r="T50" s="76">
        <f t="shared" si="4"/>
        <v>1313</v>
      </c>
      <c r="U50" s="77">
        <f t="shared" si="5"/>
        <v>6466</v>
      </c>
    </row>
    <row r="51" ht="19.5" customHeight="1">
      <c r="A51" s="38"/>
      <c r="B51" s="4">
        <v>6179.0</v>
      </c>
      <c r="C51" s="5" t="s">
        <v>61</v>
      </c>
      <c r="D51" s="75">
        <v>0.0</v>
      </c>
      <c r="E51" s="75">
        <v>305.0</v>
      </c>
      <c r="F51" s="75">
        <v>1876.0</v>
      </c>
      <c r="G51" s="75">
        <v>430.0</v>
      </c>
      <c r="H51" s="75">
        <v>314.0</v>
      </c>
      <c r="I51" s="75">
        <v>0.0</v>
      </c>
      <c r="J51" s="75">
        <v>754.0</v>
      </c>
      <c r="K51" s="75">
        <v>0.0</v>
      </c>
      <c r="L51" s="75">
        <v>265.0</v>
      </c>
      <c r="M51" s="75">
        <v>786.0</v>
      </c>
      <c r="N51" s="75">
        <v>131.0</v>
      </c>
      <c r="O51" s="75">
        <v>0.0</v>
      </c>
      <c r="P51" s="75">
        <v>0.0</v>
      </c>
      <c r="Q51" s="7">
        <f t="shared" si="7"/>
        <v>4861</v>
      </c>
      <c r="R51" s="76">
        <f t="shared" si="2"/>
        <v>314</v>
      </c>
      <c r="S51" s="76">
        <f t="shared" si="3"/>
        <v>1019</v>
      </c>
      <c r="T51" s="76">
        <f t="shared" si="4"/>
        <v>917</v>
      </c>
      <c r="U51" s="77">
        <f t="shared" si="5"/>
        <v>4861</v>
      </c>
      <c r="V51" s="93"/>
      <c r="W51" s="93"/>
      <c r="X51" s="93"/>
      <c r="Y51" s="93"/>
      <c r="Z51" s="93"/>
    </row>
    <row r="52" ht="19.5" customHeight="1">
      <c r="A52" s="38"/>
      <c r="B52" s="24" t="s">
        <v>62</v>
      </c>
      <c r="C52" s="25"/>
      <c r="D52" s="94">
        <f t="shared" ref="D52:Q52" si="8">SUM(D24:D51)</f>
        <v>403</v>
      </c>
      <c r="E52" s="94">
        <f t="shared" si="8"/>
        <v>21147</v>
      </c>
      <c r="F52" s="94">
        <f t="shared" si="8"/>
        <v>130552</v>
      </c>
      <c r="G52" s="94">
        <f t="shared" si="8"/>
        <v>58809</v>
      </c>
      <c r="H52" s="94">
        <f t="shared" si="8"/>
        <v>1492</v>
      </c>
      <c r="I52" s="94">
        <f t="shared" si="8"/>
        <v>959</v>
      </c>
      <c r="J52" s="94">
        <f t="shared" si="8"/>
        <v>14856</v>
      </c>
      <c r="K52" s="94">
        <f t="shared" si="8"/>
        <v>87</v>
      </c>
      <c r="L52" s="94">
        <f t="shared" si="8"/>
        <v>17201</v>
      </c>
      <c r="M52" s="94">
        <f t="shared" si="8"/>
        <v>129733</v>
      </c>
      <c r="N52" s="94">
        <f t="shared" si="8"/>
        <v>3375</v>
      </c>
      <c r="O52" s="94">
        <f t="shared" si="8"/>
        <v>129</v>
      </c>
      <c r="P52" s="94">
        <f t="shared" si="8"/>
        <v>1</v>
      </c>
      <c r="Q52" s="26">
        <f t="shared" si="8"/>
        <v>378744</v>
      </c>
      <c r="R52" s="80">
        <f t="shared" si="2"/>
        <v>2451</v>
      </c>
      <c r="S52" s="80">
        <f t="shared" si="3"/>
        <v>32144</v>
      </c>
      <c r="T52" s="80">
        <f t="shared" si="4"/>
        <v>133238</v>
      </c>
      <c r="U52" s="81">
        <f t="shared" si="5"/>
        <v>378744</v>
      </c>
    </row>
    <row r="53" ht="19.5" customHeight="1">
      <c r="A53" s="38"/>
      <c r="B53" s="17">
        <v>6200.0</v>
      </c>
      <c r="C53" s="18" t="s">
        <v>63</v>
      </c>
      <c r="D53" s="95">
        <v>11.0</v>
      </c>
      <c r="E53" s="95">
        <v>439.0</v>
      </c>
      <c r="F53" s="95">
        <v>4684.0</v>
      </c>
      <c r="G53" s="95">
        <v>3146.0</v>
      </c>
      <c r="H53" s="95">
        <v>83.0</v>
      </c>
      <c r="I53" s="95">
        <v>8.0</v>
      </c>
      <c r="J53" s="95">
        <v>2864.0</v>
      </c>
      <c r="K53" s="95">
        <v>0.0</v>
      </c>
      <c r="L53" s="95">
        <v>470.0</v>
      </c>
      <c r="M53" s="95">
        <v>9834.0</v>
      </c>
      <c r="N53" s="95">
        <v>115.0</v>
      </c>
      <c r="O53" s="95">
        <v>1.0</v>
      </c>
      <c r="P53" s="95">
        <v>0.0</v>
      </c>
      <c r="Q53" s="20">
        <f t="shared" ref="Q53:Q61" si="9">SUM(D53:P53)</f>
        <v>21655</v>
      </c>
      <c r="R53" s="96">
        <f t="shared" si="2"/>
        <v>91</v>
      </c>
      <c r="S53" s="96">
        <f t="shared" si="3"/>
        <v>3334</v>
      </c>
      <c r="T53" s="96">
        <f t="shared" si="4"/>
        <v>9950</v>
      </c>
      <c r="U53" s="97">
        <f t="shared" si="5"/>
        <v>21655</v>
      </c>
    </row>
    <row r="54" ht="19.5" customHeight="1">
      <c r="A54" s="38"/>
      <c r="B54" s="17">
        <v>6201.0</v>
      </c>
      <c r="C54" s="18" t="s">
        <v>64</v>
      </c>
      <c r="D54" s="95">
        <v>38.0</v>
      </c>
      <c r="E54" s="95">
        <v>619.0</v>
      </c>
      <c r="F54" s="95">
        <v>5078.0</v>
      </c>
      <c r="G54" s="95">
        <v>1803.0</v>
      </c>
      <c r="H54" s="95">
        <v>21.0</v>
      </c>
      <c r="I54" s="95">
        <v>0.0</v>
      </c>
      <c r="J54" s="95">
        <v>66.0</v>
      </c>
      <c r="K54" s="95">
        <v>0.0</v>
      </c>
      <c r="L54" s="95">
        <v>276.0</v>
      </c>
      <c r="M54" s="95">
        <v>2212.0</v>
      </c>
      <c r="N54" s="95">
        <v>57.0</v>
      </c>
      <c r="O54" s="95">
        <v>1.0</v>
      </c>
      <c r="P54" s="95">
        <v>0.0</v>
      </c>
      <c r="Q54" s="20">
        <f t="shared" si="9"/>
        <v>10171</v>
      </c>
      <c r="R54" s="96">
        <f t="shared" si="2"/>
        <v>21</v>
      </c>
      <c r="S54" s="96">
        <f t="shared" si="3"/>
        <v>342</v>
      </c>
      <c r="T54" s="96">
        <f t="shared" si="4"/>
        <v>2270</v>
      </c>
      <c r="U54" s="97">
        <f t="shared" si="5"/>
        <v>10171</v>
      </c>
    </row>
    <row r="55" ht="19.5" customHeight="1">
      <c r="A55" s="38"/>
      <c r="B55" s="17">
        <v>6202.0</v>
      </c>
      <c r="C55" s="18" t="s">
        <v>65</v>
      </c>
      <c r="D55" s="95">
        <v>7.0</v>
      </c>
      <c r="E55" s="95">
        <v>607.0</v>
      </c>
      <c r="F55" s="95">
        <v>4974.0</v>
      </c>
      <c r="G55" s="95">
        <v>1807.0</v>
      </c>
      <c r="H55" s="95">
        <v>12.0</v>
      </c>
      <c r="I55" s="95">
        <v>6.0</v>
      </c>
      <c r="J55" s="95">
        <v>213.0</v>
      </c>
      <c r="K55" s="95">
        <v>0.0</v>
      </c>
      <c r="L55" s="95">
        <v>347.0</v>
      </c>
      <c r="M55" s="95">
        <v>4571.0</v>
      </c>
      <c r="N55" s="95">
        <v>91.0</v>
      </c>
      <c r="O55" s="95">
        <v>0.0</v>
      </c>
      <c r="P55" s="95">
        <v>0.0</v>
      </c>
      <c r="Q55" s="20">
        <f t="shared" si="9"/>
        <v>12635</v>
      </c>
      <c r="R55" s="96">
        <f t="shared" si="2"/>
        <v>18</v>
      </c>
      <c r="S55" s="96">
        <f t="shared" si="3"/>
        <v>560</v>
      </c>
      <c r="T55" s="96">
        <f t="shared" si="4"/>
        <v>4662</v>
      </c>
      <c r="U55" s="97">
        <f t="shared" si="5"/>
        <v>12635</v>
      </c>
    </row>
    <row r="56" ht="19.5" customHeight="1">
      <c r="A56" s="38"/>
      <c r="B56" s="17">
        <v>6203.0</v>
      </c>
      <c r="C56" s="18" t="s">
        <v>66</v>
      </c>
      <c r="D56" s="95">
        <v>60.0</v>
      </c>
      <c r="E56" s="95">
        <v>685.0</v>
      </c>
      <c r="F56" s="95">
        <v>4805.0</v>
      </c>
      <c r="G56" s="95">
        <v>1611.0</v>
      </c>
      <c r="H56" s="95">
        <v>4.0</v>
      </c>
      <c r="I56" s="95">
        <v>13.0</v>
      </c>
      <c r="J56" s="95">
        <v>279.0</v>
      </c>
      <c r="K56" s="95">
        <v>0.0</v>
      </c>
      <c r="L56" s="95">
        <v>888.0</v>
      </c>
      <c r="M56" s="95">
        <v>3880.0</v>
      </c>
      <c r="N56" s="95">
        <v>157.0</v>
      </c>
      <c r="O56" s="95">
        <v>2.0</v>
      </c>
      <c r="P56" s="95">
        <v>0.0</v>
      </c>
      <c r="Q56" s="20">
        <f t="shared" si="9"/>
        <v>12384</v>
      </c>
      <c r="R56" s="96">
        <f t="shared" si="2"/>
        <v>17</v>
      </c>
      <c r="S56" s="96">
        <f t="shared" si="3"/>
        <v>1167</v>
      </c>
      <c r="T56" s="96">
        <f t="shared" si="4"/>
        <v>4039</v>
      </c>
      <c r="U56" s="97">
        <f t="shared" si="5"/>
        <v>12384</v>
      </c>
    </row>
    <row r="57" ht="19.5" customHeight="1">
      <c r="A57" s="38"/>
      <c r="B57" s="4">
        <v>6204.0</v>
      </c>
      <c r="C57" s="5" t="s">
        <v>67</v>
      </c>
      <c r="D57" s="75">
        <v>7.0</v>
      </c>
      <c r="E57" s="75">
        <v>1346.0</v>
      </c>
      <c r="F57" s="75">
        <v>6154.0</v>
      </c>
      <c r="G57" s="75">
        <v>1838.0</v>
      </c>
      <c r="H57" s="75">
        <v>6.0</v>
      </c>
      <c r="I57" s="75">
        <v>3.0</v>
      </c>
      <c r="J57" s="75">
        <v>619.0</v>
      </c>
      <c r="K57" s="75">
        <v>0.0</v>
      </c>
      <c r="L57" s="75">
        <v>426.0</v>
      </c>
      <c r="M57" s="75">
        <v>5329.0</v>
      </c>
      <c r="N57" s="75">
        <v>122.0</v>
      </c>
      <c r="O57" s="75">
        <v>10.0</v>
      </c>
      <c r="P57" s="75">
        <v>0.0</v>
      </c>
      <c r="Q57" s="7">
        <f t="shared" si="9"/>
        <v>15860</v>
      </c>
      <c r="R57" s="76">
        <f t="shared" si="2"/>
        <v>9</v>
      </c>
      <c r="S57" s="76">
        <f t="shared" si="3"/>
        <v>1045</v>
      </c>
      <c r="T57" s="76">
        <f t="shared" si="4"/>
        <v>5461</v>
      </c>
      <c r="U57" s="77">
        <f t="shared" si="5"/>
        <v>15860</v>
      </c>
    </row>
    <row r="58" ht="19.5" customHeight="1">
      <c r="A58" s="38"/>
      <c r="B58" s="4">
        <v>6271.0</v>
      </c>
      <c r="C58" s="5" t="s">
        <v>68</v>
      </c>
      <c r="D58" s="75">
        <v>19.0</v>
      </c>
      <c r="E58" s="75">
        <v>499.0</v>
      </c>
      <c r="F58" s="75">
        <v>4261.0</v>
      </c>
      <c r="G58" s="75">
        <v>1356.0</v>
      </c>
      <c r="H58" s="75">
        <v>107.0</v>
      </c>
      <c r="I58" s="75">
        <v>0.0</v>
      </c>
      <c r="J58" s="75">
        <v>1479.0</v>
      </c>
      <c r="K58" s="75">
        <v>2.0</v>
      </c>
      <c r="L58" s="75">
        <v>673.0</v>
      </c>
      <c r="M58" s="75">
        <v>4967.0</v>
      </c>
      <c r="N58" s="75">
        <v>345.0</v>
      </c>
      <c r="O58" s="75">
        <v>22.0</v>
      </c>
      <c r="P58" s="75">
        <v>0.0</v>
      </c>
      <c r="Q58" s="7">
        <f t="shared" si="9"/>
        <v>13730</v>
      </c>
      <c r="R58" s="76">
        <f t="shared" si="2"/>
        <v>107</v>
      </c>
      <c r="S58" s="76">
        <f t="shared" si="3"/>
        <v>2154</v>
      </c>
      <c r="T58" s="76">
        <f t="shared" si="4"/>
        <v>5334</v>
      </c>
      <c r="U58" s="77">
        <f t="shared" si="5"/>
        <v>13730</v>
      </c>
    </row>
    <row r="59" ht="19.5" customHeight="1">
      <c r="A59" s="38"/>
      <c r="B59" s="4">
        <v>6272.0</v>
      </c>
      <c r="C59" s="5" t="s">
        <v>69</v>
      </c>
      <c r="D59" s="75">
        <v>5.0</v>
      </c>
      <c r="E59" s="75">
        <v>308.0</v>
      </c>
      <c r="F59" s="75">
        <v>2969.0</v>
      </c>
      <c r="G59" s="75">
        <v>962.0</v>
      </c>
      <c r="H59" s="75">
        <v>16.0</v>
      </c>
      <c r="I59" s="75">
        <v>0.0</v>
      </c>
      <c r="J59" s="75">
        <v>164.0</v>
      </c>
      <c r="K59" s="75">
        <v>0.0</v>
      </c>
      <c r="L59" s="75">
        <v>237.0</v>
      </c>
      <c r="M59" s="75">
        <v>1149.0</v>
      </c>
      <c r="N59" s="75">
        <v>51.0</v>
      </c>
      <c r="O59" s="75">
        <v>1.0</v>
      </c>
      <c r="P59" s="75">
        <v>0.0</v>
      </c>
      <c r="Q59" s="7">
        <f t="shared" si="9"/>
        <v>5862</v>
      </c>
      <c r="R59" s="76">
        <f t="shared" si="2"/>
        <v>16</v>
      </c>
      <c r="S59" s="76">
        <f t="shared" si="3"/>
        <v>401</v>
      </c>
      <c r="T59" s="76">
        <f t="shared" si="4"/>
        <v>1201</v>
      </c>
      <c r="U59" s="77">
        <f t="shared" si="5"/>
        <v>5862</v>
      </c>
    </row>
    <row r="60" ht="19.5" customHeight="1">
      <c r="A60" s="38"/>
      <c r="B60" s="4">
        <v>6273.0</v>
      </c>
      <c r="C60" s="5" t="s">
        <v>70</v>
      </c>
      <c r="D60" s="75">
        <v>2.0</v>
      </c>
      <c r="E60" s="75">
        <v>317.0</v>
      </c>
      <c r="F60" s="75">
        <v>2369.0</v>
      </c>
      <c r="G60" s="75">
        <v>1203.0</v>
      </c>
      <c r="H60" s="75">
        <v>30.0</v>
      </c>
      <c r="I60" s="75">
        <v>0.0</v>
      </c>
      <c r="J60" s="75">
        <v>96.0</v>
      </c>
      <c r="K60" s="75">
        <v>0.0</v>
      </c>
      <c r="L60" s="75">
        <v>36.0</v>
      </c>
      <c r="M60" s="75">
        <v>1775.0</v>
      </c>
      <c r="N60" s="75">
        <v>18.0</v>
      </c>
      <c r="O60" s="75">
        <v>1.0</v>
      </c>
      <c r="P60" s="75">
        <v>0.0</v>
      </c>
      <c r="Q60" s="7">
        <f t="shared" si="9"/>
        <v>5847</v>
      </c>
      <c r="R60" s="76">
        <f t="shared" si="2"/>
        <v>30</v>
      </c>
      <c r="S60" s="76">
        <f t="shared" si="3"/>
        <v>132</v>
      </c>
      <c r="T60" s="76">
        <f t="shared" si="4"/>
        <v>1794</v>
      </c>
      <c r="U60" s="77">
        <f t="shared" si="5"/>
        <v>5847</v>
      </c>
    </row>
    <row r="61" ht="19.5" customHeight="1">
      <c r="A61" s="3"/>
      <c r="B61" s="4">
        <v>6274.0</v>
      </c>
      <c r="C61" s="5" t="s">
        <v>71</v>
      </c>
      <c r="D61" s="75">
        <v>0.0</v>
      </c>
      <c r="E61" s="75">
        <v>378.0</v>
      </c>
      <c r="F61" s="75">
        <v>2771.0</v>
      </c>
      <c r="G61" s="75">
        <v>960.0</v>
      </c>
      <c r="H61" s="75">
        <v>260.0</v>
      </c>
      <c r="I61" s="75">
        <v>333.0</v>
      </c>
      <c r="J61" s="75">
        <v>3452.0</v>
      </c>
      <c r="K61" s="75">
        <v>3.0</v>
      </c>
      <c r="L61" s="75">
        <v>1285.0</v>
      </c>
      <c r="M61" s="75">
        <v>5556.0</v>
      </c>
      <c r="N61" s="75">
        <v>386.0</v>
      </c>
      <c r="O61" s="75">
        <v>22.0</v>
      </c>
      <c r="P61" s="75">
        <v>0.0</v>
      </c>
      <c r="Q61" s="7">
        <f t="shared" si="9"/>
        <v>15406</v>
      </c>
      <c r="R61" s="76">
        <f t="shared" si="2"/>
        <v>593</v>
      </c>
      <c r="S61" s="76">
        <f t="shared" si="3"/>
        <v>4740</v>
      </c>
      <c r="T61" s="76">
        <f t="shared" si="4"/>
        <v>5964</v>
      </c>
      <c r="U61" s="77">
        <f t="shared" si="5"/>
        <v>15406</v>
      </c>
    </row>
    <row r="62" ht="19.5" customHeight="1">
      <c r="A62" s="98"/>
      <c r="B62" s="24" t="s">
        <v>72</v>
      </c>
      <c r="C62" s="25"/>
      <c r="D62" s="94">
        <f t="shared" ref="D62:Q62" si="10">SUM(D53:D61)</f>
        <v>149</v>
      </c>
      <c r="E62" s="94">
        <f t="shared" si="10"/>
        <v>5198</v>
      </c>
      <c r="F62" s="94">
        <f t="shared" si="10"/>
        <v>38065</v>
      </c>
      <c r="G62" s="94">
        <f t="shared" si="10"/>
        <v>14686</v>
      </c>
      <c r="H62" s="94">
        <f t="shared" si="10"/>
        <v>539</v>
      </c>
      <c r="I62" s="94">
        <f t="shared" si="10"/>
        <v>363</v>
      </c>
      <c r="J62" s="94">
        <f t="shared" si="10"/>
        <v>9232</v>
      </c>
      <c r="K62" s="94">
        <f t="shared" si="10"/>
        <v>5</v>
      </c>
      <c r="L62" s="94">
        <f t="shared" si="10"/>
        <v>4638</v>
      </c>
      <c r="M62" s="94">
        <f t="shared" si="10"/>
        <v>39273</v>
      </c>
      <c r="N62" s="94">
        <f t="shared" si="10"/>
        <v>1342</v>
      </c>
      <c r="O62" s="94">
        <f t="shared" si="10"/>
        <v>60</v>
      </c>
      <c r="P62" s="94">
        <f t="shared" si="10"/>
        <v>0</v>
      </c>
      <c r="Q62" s="26">
        <f t="shared" si="10"/>
        <v>113550</v>
      </c>
      <c r="R62" s="80">
        <f t="shared" si="2"/>
        <v>902</v>
      </c>
      <c r="S62" s="80">
        <f t="shared" si="3"/>
        <v>13875</v>
      </c>
      <c r="T62" s="80">
        <f t="shared" si="4"/>
        <v>40675</v>
      </c>
      <c r="U62" s="81">
        <f t="shared" si="5"/>
        <v>113550</v>
      </c>
    </row>
    <row r="63" ht="35.25" customHeight="1">
      <c r="A63" s="63" t="s">
        <v>73</v>
      </c>
      <c r="B63" s="64"/>
      <c r="C63" s="25"/>
      <c r="D63" s="99">
        <f t="shared" ref="D63:Q63" si="11">D52+D62</f>
        <v>552</v>
      </c>
      <c r="E63" s="99">
        <f t="shared" si="11"/>
        <v>26345</v>
      </c>
      <c r="F63" s="99">
        <f t="shared" si="11"/>
        <v>168617</v>
      </c>
      <c r="G63" s="99">
        <f t="shared" si="11"/>
        <v>73495</v>
      </c>
      <c r="H63" s="99">
        <f t="shared" si="11"/>
        <v>2031</v>
      </c>
      <c r="I63" s="99">
        <f t="shared" si="11"/>
        <v>1322</v>
      </c>
      <c r="J63" s="99">
        <f t="shared" si="11"/>
        <v>24088</v>
      </c>
      <c r="K63" s="99">
        <f t="shared" si="11"/>
        <v>92</v>
      </c>
      <c r="L63" s="99">
        <f t="shared" si="11"/>
        <v>21839</v>
      </c>
      <c r="M63" s="99">
        <f t="shared" si="11"/>
        <v>169006</v>
      </c>
      <c r="N63" s="99">
        <f t="shared" si="11"/>
        <v>4717</v>
      </c>
      <c r="O63" s="99">
        <f t="shared" si="11"/>
        <v>189</v>
      </c>
      <c r="P63" s="99">
        <f t="shared" si="11"/>
        <v>1</v>
      </c>
      <c r="Q63" s="62">
        <f t="shared" si="11"/>
        <v>492294</v>
      </c>
      <c r="R63" s="100">
        <f t="shared" si="2"/>
        <v>3353</v>
      </c>
      <c r="S63" s="100">
        <f t="shared" si="3"/>
        <v>46019</v>
      </c>
      <c r="T63" s="100">
        <f t="shared" si="4"/>
        <v>173913</v>
      </c>
      <c r="U63" s="101">
        <f t="shared" si="5"/>
        <v>492294</v>
      </c>
      <c r="V63" s="37"/>
      <c r="W63" s="37"/>
      <c r="X63" s="37"/>
      <c r="Y63" s="37"/>
      <c r="Z63" s="37"/>
    </row>
    <row r="64" ht="35.25" customHeight="1">
      <c r="A64" s="65" t="s">
        <v>88</v>
      </c>
      <c r="B64" s="64"/>
      <c r="C64" s="25"/>
      <c r="D64" s="102">
        <f t="shared" ref="D64:Q64" si="12">SUM(D63,D23)</f>
        <v>605</v>
      </c>
      <c r="E64" s="102">
        <f t="shared" si="12"/>
        <v>31791</v>
      </c>
      <c r="F64" s="102">
        <f t="shared" si="12"/>
        <v>193835</v>
      </c>
      <c r="G64" s="102">
        <f t="shared" si="12"/>
        <v>84711</v>
      </c>
      <c r="H64" s="102">
        <f t="shared" si="12"/>
        <v>2032</v>
      </c>
      <c r="I64" s="102">
        <f t="shared" si="12"/>
        <v>1326</v>
      </c>
      <c r="J64" s="102">
        <f t="shared" si="12"/>
        <v>24134</v>
      </c>
      <c r="K64" s="102">
        <f t="shared" si="12"/>
        <v>92</v>
      </c>
      <c r="L64" s="102">
        <f t="shared" si="12"/>
        <v>23157</v>
      </c>
      <c r="M64" s="102">
        <f t="shared" si="12"/>
        <v>170466</v>
      </c>
      <c r="N64" s="102">
        <f t="shared" si="12"/>
        <v>4832</v>
      </c>
      <c r="O64" s="102">
        <f t="shared" si="12"/>
        <v>189</v>
      </c>
      <c r="P64" s="102">
        <f t="shared" si="12"/>
        <v>1</v>
      </c>
      <c r="Q64" s="39">
        <f t="shared" si="12"/>
        <v>537171</v>
      </c>
      <c r="R64" s="80">
        <f t="shared" si="2"/>
        <v>3358</v>
      </c>
      <c r="S64" s="80">
        <f t="shared" si="3"/>
        <v>47383</v>
      </c>
      <c r="T64" s="80">
        <f t="shared" si="4"/>
        <v>175488</v>
      </c>
      <c r="U64" s="81">
        <f t="shared" si="5"/>
        <v>537171</v>
      </c>
      <c r="V64" s="37"/>
      <c r="W64" s="37"/>
      <c r="X64" s="37"/>
      <c r="Y64" s="37"/>
      <c r="Z64" s="37"/>
    </row>
    <row r="65" ht="15.75" customHeight="1"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R65" s="67"/>
      <c r="S65" s="67"/>
      <c r="T65" s="67"/>
    </row>
    <row r="66" ht="15.75" customHeight="1"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R66" s="67"/>
      <c r="S66" s="67"/>
      <c r="T66" s="67"/>
    </row>
    <row r="67" ht="15.75" customHeight="1"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R67" s="67"/>
      <c r="S67" s="67"/>
      <c r="T67" s="67"/>
    </row>
    <row r="68" ht="15.75" customHeight="1"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R68" s="67"/>
      <c r="S68" s="67"/>
      <c r="T68" s="67"/>
    </row>
    <row r="69" ht="15.75" customHeight="1">
      <c r="D69" s="67"/>
      <c r="E69" s="67"/>
      <c r="F69" s="67"/>
      <c r="G69" s="67"/>
      <c r="H69" s="103"/>
      <c r="I69" s="103"/>
      <c r="J69" s="67"/>
      <c r="K69" s="67"/>
      <c r="L69" s="67"/>
      <c r="M69" s="67"/>
      <c r="N69" s="67"/>
      <c r="O69" s="67"/>
      <c r="P69" s="67"/>
      <c r="R69" s="67"/>
      <c r="S69" s="67"/>
      <c r="T69" s="67"/>
    </row>
    <row r="70" ht="15.75" customHeight="1">
      <c r="D70" s="67"/>
      <c r="E70" s="67"/>
      <c r="F70" s="67"/>
      <c r="G70" s="67"/>
      <c r="H70" s="67"/>
      <c r="I70" s="103"/>
      <c r="J70" s="67"/>
      <c r="K70" s="67"/>
      <c r="L70" s="67"/>
      <c r="M70" s="67"/>
      <c r="N70" s="67"/>
      <c r="O70" s="67"/>
      <c r="P70" s="67"/>
      <c r="R70" s="67"/>
      <c r="S70" s="67"/>
      <c r="T70" s="67"/>
    </row>
    <row r="71" ht="15.75" customHeight="1">
      <c r="D71" s="67"/>
      <c r="E71" s="67"/>
      <c r="F71" s="67"/>
      <c r="G71" s="67"/>
      <c r="H71" s="67"/>
      <c r="I71" s="103"/>
      <c r="J71" s="67"/>
      <c r="K71" s="67"/>
      <c r="L71" s="67"/>
      <c r="M71" s="67"/>
      <c r="N71" s="67"/>
      <c r="O71" s="67"/>
      <c r="P71" s="67"/>
      <c r="R71" s="67"/>
      <c r="S71" s="67"/>
      <c r="T71" s="67"/>
    </row>
    <row r="72" ht="15.75" customHeight="1">
      <c r="D72" s="67"/>
      <c r="E72" s="67"/>
      <c r="F72" s="67"/>
      <c r="G72" s="67"/>
      <c r="H72" s="67"/>
      <c r="I72" s="103"/>
      <c r="J72" s="67"/>
      <c r="K72" s="67"/>
      <c r="L72" s="67"/>
      <c r="M72" s="67"/>
      <c r="N72" s="67"/>
      <c r="O72" s="67"/>
      <c r="P72" s="67"/>
      <c r="R72" s="67"/>
      <c r="S72" s="67"/>
      <c r="T72" s="67"/>
    </row>
    <row r="73" ht="15.75" customHeight="1"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R73" s="67"/>
      <c r="S73" s="67"/>
      <c r="T73" s="67"/>
    </row>
    <row r="74" ht="15.75" customHeight="1"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R74" s="67"/>
      <c r="S74" s="67"/>
      <c r="T74" s="67"/>
    </row>
    <row r="75" ht="15.75" customHeight="1"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R75" s="67"/>
      <c r="S75" s="67"/>
      <c r="T75" s="67"/>
    </row>
    <row r="76" ht="15.75" customHeight="1"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R76" s="67"/>
      <c r="S76" s="67"/>
      <c r="T76" s="67"/>
    </row>
    <row r="77" ht="15.75" customHeight="1"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R77" s="67"/>
      <c r="S77" s="67"/>
      <c r="T77" s="67"/>
    </row>
    <row r="78" ht="15.75" customHeight="1"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R78" s="67"/>
      <c r="S78" s="67"/>
      <c r="T78" s="67"/>
    </row>
    <row r="79" ht="15.75" customHeight="1"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R79" s="67"/>
      <c r="S79" s="67"/>
      <c r="T79" s="67"/>
    </row>
    <row r="80" ht="15.75" customHeight="1"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R80" s="67"/>
      <c r="S80" s="67"/>
      <c r="T80" s="67"/>
    </row>
    <row r="81" ht="15.75" customHeight="1"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R81" s="67"/>
      <c r="S81" s="67"/>
      <c r="T81" s="67"/>
    </row>
    <row r="82" ht="15.75" customHeight="1"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R82" s="67"/>
      <c r="S82" s="67"/>
      <c r="T82" s="67"/>
    </row>
    <row r="83" ht="15.75" customHeight="1"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R83" s="67"/>
      <c r="S83" s="67"/>
      <c r="T83" s="67"/>
    </row>
    <row r="84" ht="15.75" customHeight="1"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R84" s="67"/>
      <c r="S84" s="67"/>
      <c r="T84" s="67"/>
    </row>
    <row r="85" ht="15.75" customHeight="1"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R85" s="67"/>
      <c r="S85" s="67"/>
      <c r="T85" s="67"/>
    </row>
    <row r="86" ht="15.75" customHeight="1"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R86" s="67"/>
      <c r="S86" s="67"/>
      <c r="T86" s="67"/>
    </row>
    <row r="87" ht="15.75" customHeight="1"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R87" s="67"/>
      <c r="S87" s="67"/>
      <c r="T87" s="67"/>
    </row>
    <row r="88" ht="15.75" customHeight="1"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R88" s="67"/>
      <c r="S88" s="67"/>
      <c r="T88" s="67"/>
    </row>
    <row r="89" ht="15.75" customHeight="1"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R89" s="67"/>
      <c r="S89" s="67"/>
      <c r="T89" s="67"/>
    </row>
    <row r="90" ht="15.75" customHeight="1"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R90" s="67"/>
      <c r="S90" s="67"/>
      <c r="T90" s="67"/>
    </row>
    <row r="91" ht="15.75" customHeight="1"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R91" s="67"/>
      <c r="S91" s="67"/>
      <c r="T91" s="67"/>
    </row>
    <row r="92" ht="15.75" customHeight="1"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R92" s="67"/>
      <c r="S92" s="67"/>
      <c r="T92" s="67"/>
    </row>
    <row r="93" ht="15.75" customHeight="1"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R93" s="67"/>
      <c r="S93" s="67"/>
      <c r="T93" s="67"/>
    </row>
    <row r="94" ht="15.75" customHeight="1"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R94" s="67"/>
      <c r="S94" s="67"/>
      <c r="T94" s="67"/>
    </row>
    <row r="95" ht="15.75" customHeight="1"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R95" s="67"/>
      <c r="S95" s="67"/>
      <c r="T95" s="67"/>
    </row>
    <row r="96" ht="15.75" customHeight="1"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R96" s="67"/>
      <c r="S96" s="67"/>
      <c r="T96" s="67"/>
    </row>
    <row r="97" ht="15.75" customHeight="1"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R97" s="67"/>
      <c r="S97" s="67"/>
      <c r="T97" s="67"/>
    </row>
    <row r="98" ht="15.75" customHeight="1"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R98" s="67"/>
      <c r="S98" s="67"/>
      <c r="T98" s="67"/>
    </row>
    <row r="99" ht="15.75" customHeight="1"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R99" s="67"/>
      <c r="S99" s="67"/>
      <c r="T99" s="67"/>
    </row>
    <row r="100" ht="15.75" customHeight="1"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R100" s="67"/>
      <c r="S100" s="67"/>
      <c r="T100" s="67"/>
    </row>
    <row r="101" ht="15.75" customHeight="1"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R101" s="67"/>
      <c r="S101" s="67"/>
      <c r="T101" s="67"/>
    </row>
    <row r="102" ht="15.75" customHeight="1"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R102" s="67"/>
      <c r="S102" s="67"/>
      <c r="T102" s="67"/>
    </row>
    <row r="103" ht="15.75" customHeight="1"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R103" s="67"/>
      <c r="S103" s="67"/>
      <c r="T103" s="67"/>
    </row>
    <row r="104" ht="15.75" customHeight="1"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R104" s="67"/>
      <c r="S104" s="67"/>
      <c r="T104" s="67"/>
    </row>
    <row r="105" ht="15.75" customHeight="1"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R105" s="67"/>
      <c r="S105" s="67"/>
      <c r="T105" s="67"/>
    </row>
    <row r="106" ht="15.75" customHeight="1"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R106" s="67"/>
      <c r="S106" s="67"/>
      <c r="T106" s="67"/>
    </row>
    <row r="107" ht="15.75" customHeight="1"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R107" s="67"/>
      <c r="S107" s="67"/>
      <c r="T107" s="67"/>
    </row>
    <row r="108" ht="15.75" customHeight="1"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R108" s="67"/>
      <c r="S108" s="67"/>
      <c r="T108" s="67"/>
    </row>
    <row r="109" ht="15.75" customHeight="1"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R109" s="67"/>
      <c r="S109" s="67"/>
      <c r="T109" s="67"/>
    </row>
    <row r="110" ht="15.75" customHeight="1"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R110" s="67"/>
      <c r="S110" s="67"/>
      <c r="T110" s="67"/>
    </row>
    <row r="111" ht="15.75" customHeight="1"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R111" s="67"/>
      <c r="S111" s="67"/>
      <c r="T111" s="67"/>
    </row>
    <row r="112" ht="15.75" customHeight="1"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R112" s="67"/>
      <c r="S112" s="67"/>
      <c r="T112" s="67"/>
    </row>
    <row r="113" ht="15.75" customHeight="1"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R113" s="67"/>
      <c r="S113" s="67"/>
      <c r="T113" s="67"/>
    </row>
    <row r="114" ht="15.75" customHeight="1"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R114" s="67"/>
      <c r="S114" s="67"/>
      <c r="T114" s="67"/>
    </row>
    <row r="115" ht="15.75" customHeight="1"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R115" s="67"/>
      <c r="S115" s="67"/>
      <c r="T115" s="67"/>
    </row>
    <row r="116" ht="15.75" customHeight="1"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R116" s="67"/>
      <c r="S116" s="67"/>
      <c r="T116" s="67"/>
    </row>
    <row r="117" ht="15.75" customHeight="1"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R117" s="67"/>
      <c r="S117" s="67"/>
      <c r="T117" s="67"/>
    </row>
    <row r="118" ht="15.75" customHeight="1"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R118" s="67"/>
      <c r="S118" s="67"/>
      <c r="T118" s="67"/>
    </row>
    <row r="119" ht="15.75" customHeight="1"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R119" s="67"/>
      <c r="S119" s="67"/>
      <c r="T119" s="67"/>
    </row>
    <row r="120" ht="15.75" customHeight="1"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R120" s="67"/>
      <c r="S120" s="67"/>
      <c r="T120" s="67"/>
    </row>
    <row r="121" ht="15.75" customHeight="1"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R121" s="67"/>
      <c r="S121" s="67"/>
      <c r="T121" s="67"/>
    </row>
    <row r="122" ht="15.75" customHeight="1"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R122" s="67"/>
      <c r="S122" s="67"/>
      <c r="T122" s="67"/>
    </row>
    <row r="123" ht="15.75" customHeight="1"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R123" s="67"/>
      <c r="S123" s="67"/>
      <c r="T123" s="67"/>
    </row>
    <row r="124" ht="15.75" customHeight="1"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R124" s="67"/>
      <c r="S124" s="67"/>
      <c r="T124" s="67"/>
    </row>
    <row r="125" ht="15.75" customHeight="1"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R125" s="67"/>
      <c r="S125" s="67"/>
      <c r="T125" s="67"/>
    </row>
    <row r="126" ht="15.75" customHeight="1"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R126" s="67"/>
      <c r="S126" s="67"/>
      <c r="T126" s="67"/>
    </row>
    <row r="127" ht="15.75" customHeight="1"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R127" s="67"/>
      <c r="S127" s="67"/>
      <c r="T127" s="67"/>
    </row>
    <row r="128" ht="15.75" customHeight="1"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R128" s="67"/>
      <c r="S128" s="67"/>
      <c r="T128" s="67"/>
    </row>
    <row r="129" ht="15.75" customHeight="1"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R129" s="67"/>
      <c r="S129" s="67"/>
      <c r="T129" s="67"/>
    </row>
    <row r="130" ht="15.75" customHeight="1"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R130" s="67"/>
      <c r="S130" s="67"/>
      <c r="T130" s="67"/>
    </row>
    <row r="131" ht="15.75" customHeight="1"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R131" s="67"/>
      <c r="S131" s="67"/>
      <c r="T131" s="67"/>
    </row>
    <row r="132" ht="15.75" customHeight="1"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R132" s="67"/>
      <c r="S132" s="67"/>
      <c r="T132" s="67"/>
    </row>
    <row r="133" ht="15.75" customHeight="1"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R133" s="67"/>
      <c r="S133" s="67"/>
      <c r="T133" s="67"/>
    </row>
    <row r="134" ht="15.75" customHeight="1"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R134" s="67"/>
      <c r="S134" s="67"/>
      <c r="T134" s="67"/>
    </row>
    <row r="135" ht="15.75" customHeight="1"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R135" s="67"/>
      <c r="S135" s="67"/>
      <c r="T135" s="67"/>
    </row>
    <row r="136" ht="15.75" customHeight="1"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R136" s="67"/>
      <c r="S136" s="67"/>
      <c r="T136" s="67"/>
    </row>
    <row r="137" ht="15.75" customHeight="1"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R137" s="67"/>
      <c r="S137" s="67"/>
      <c r="T137" s="67"/>
    </row>
    <row r="138" ht="15.75" customHeight="1"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R138" s="67"/>
      <c r="S138" s="67"/>
      <c r="T138" s="67"/>
    </row>
    <row r="139" ht="15.75" customHeight="1"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R139" s="67"/>
      <c r="S139" s="67"/>
      <c r="T139" s="67"/>
    </row>
    <row r="140" ht="15.75" customHeight="1"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R140" s="67"/>
      <c r="S140" s="67"/>
      <c r="T140" s="67"/>
    </row>
    <row r="141" ht="15.75" customHeight="1"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R141" s="67"/>
      <c r="S141" s="67"/>
      <c r="T141" s="67"/>
    </row>
    <row r="142" ht="15.75" customHeight="1"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R142" s="67"/>
      <c r="S142" s="67"/>
      <c r="T142" s="67"/>
    </row>
    <row r="143" ht="15.75" customHeight="1"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R143" s="67"/>
      <c r="S143" s="67"/>
      <c r="T143" s="67"/>
    </row>
    <row r="144" ht="15.75" customHeight="1"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R144" s="67"/>
      <c r="S144" s="67"/>
      <c r="T144" s="67"/>
    </row>
    <row r="145" ht="15.75" customHeight="1"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R145" s="67"/>
      <c r="S145" s="67"/>
      <c r="T145" s="67"/>
    </row>
    <row r="146" ht="15.75" customHeight="1"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R146" s="67"/>
      <c r="S146" s="67"/>
      <c r="T146" s="67"/>
    </row>
    <row r="147" ht="15.75" customHeight="1"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R147" s="67"/>
      <c r="S147" s="67"/>
      <c r="T147" s="67"/>
    </row>
    <row r="148" ht="15.75" customHeight="1"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R148" s="67"/>
      <c r="S148" s="67"/>
      <c r="T148" s="67"/>
    </row>
    <row r="149" ht="15.75" customHeight="1"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R149" s="67"/>
      <c r="S149" s="67"/>
      <c r="T149" s="67"/>
    </row>
    <row r="150" ht="15.75" customHeight="1"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R150" s="67"/>
      <c r="S150" s="67"/>
      <c r="T150" s="67"/>
    </row>
    <row r="151" ht="15.75" customHeight="1"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R151" s="67"/>
      <c r="S151" s="67"/>
      <c r="T151" s="67"/>
    </row>
    <row r="152" ht="15.75" customHeight="1"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R152" s="67"/>
      <c r="S152" s="67"/>
      <c r="T152" s="67"/>
    </row>
    <row r="153" ht="15.75" customHeight="1"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R153" s="67"/>
      <c r="S153" s="67"/>
      <c r="T153" s="67"/>
    </row>
    <row r="154" ht="15.75" customHeight="1"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R154" s="67"/>
      <c r="S154" s="67"/>
      <c r="T154" s="67"/>
    </row>
    <row r="155" ht="15.75" customHeight="1"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R155" s="67"/>
      <c r="S155" s="67"/>
      <c r="T155" s="67"/>
    </row>
    <row r="156" ht="15.75" customHeight="1"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R156" s="67"/>
      <c r="S156" s="67"/>
      <c r="T156" s="67"/>
    </row>
    <row r="157" ht="15.75" customHeight="1"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R157" s="67"/>
      <c r="S157" s="67"/>
      <c r="T157" s="67"/>
    </row>
    <row r="158" ht="15.75" customHeight="1"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R158" s="67"/>
      <c r="S158" s="67"/>
      <c r="T158" s="67"/>
    </row>
    <row r="159" ht="15.75" customHeight="1"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R159" s="67"/>
      <c r="S159" s="67"/>
      <c r="T159" s="67"/>
    </row>
    <row r="160" ht="15.75" customHeight="1"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R160" s="67"/>
      <c r="S160" s="67"/>
      <c r="T160" s="67"/>
    </row>
    <row r="161" ht="15.75" customHeight="1"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R161" s="67"/>
      <c r="S161" s="67"/>
      <c r="T161" s="67"/>
    </row>
    <row r="162" ht="15.75" customHeight="1"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R162" s="67"/>
      <c r="S162" s="67"/>
      <c r="T162" s="67"/>
    </row>
    <row r="163" ht="15.75" customHeight="1"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R163" s="67"/>
      <c r="S163" s="67"/>
      <c r="T163" s="67"/>
    </row>
    <row r="164" ht="15.75" customHeight="1"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R164" s="67"/>
      <c r="S164" s="67"/>
      <c r="T164" s="67"/>
    </row>
    <row r="165" ht="15.75" customHeight="1"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R165" s="67"/>
      <c r="S165" s="67"/>
      <c r="T165" s="67"/>
    </row>
    <row r="166" ht="15.75" customHeight="1"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R166" s="67"/>
      <c r="S166" s="67"/>
      <c r="T166" s="67"/>
    </row>
    <row r="167" ht="15.75" customHeight="1"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R167" s="67"/>
      <c r="S167" s="67"/>
      <c r="T167" s="67"/>
    </row>
    <row r="168" ht="15.75" customHeight="1"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R168" s="67"/>
      <c r="S168" s="67"/>
      <c r="T168" s="67"/>
    </row>
    <row r="169" ht="15.75" customHeight="1"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R169" s="67"/>
      <c r="S169" s="67"/>
      <c r="T169" s="67"/>
    </row>
    <row r="170" ht="15.75" customHeight="1"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R170" s="67"/>
      <c r="S170" s="67"/>
      <c r="T170" s="67"/>
    </row>
    <row r="171" ht="15.75" customHeight="1"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R171" s="67"/>
      <c r="S171" s="67"/>
      <c r="T171" s="67"/>
    </row>
    <row r="172" ht="15.75" customHeight="1"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R172" s="67"/>
      <c r="S172" s="67"/>
      <c r="T172" s="67"/>
    </row>
    <row r="173" ht="15.75" customHeight="1"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R173" s="67"/>
      <c r="S173" s="67"/>
      <c r="T173" s="67"/>
    </row>
    <row r="174" ht="15.75" customHeight="1"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R174" s="67"/>
      <c r="S174" s="67"/>
      <c r="T174" s="67"/>
    </row>
    <row r="175" ht="15.75" customHeight="1"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R175" s="67"/>
      <c r="S175" s="67"/>
      <c r="T175" s="67"/>
    </row>
    <row r="176" ht="15.75" customHeight="1"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R176" s="67"/>
      <c r="S176" s="67"/>
      <c r="T176" s="67"/>
    </row>
    <row r="177" ht="15.75" customHeight="1"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R177" s="67"/>
      <c r="S177" s="67"/>
      <c r="T177" s="67"/>
    </row>
    <row r="178" ht="15.75" customHeight="1"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R178" s="67"/>
      <c r="S178" s="67"/>
      <c r="T178" s="67"/>
    </row>
    <row r="179" ht="15.75" customHeight="1"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R179" s="67"/>
      <c r="S179" s="67"/>
      <c r="T179" s="67"/>
    </row>
    <row r="180" ht="15.75" customHeight="1"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R180" s="67"/>
      <c r="S180" s="67"/>
      <c r="T180" s="67"/>
    </row>
    <row r="181" ht="15.75" customHeight="1"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R181" s="67"/>
      <c r="S181" s="67"/>
      <c r="T181" s="67"/>
    </row>
    <row r="182" ht="15.75" customHeight="1"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R182" s="67"/>
      <c r="S182" s="67"/>
      <c r="T182" s="67"/>
    </row>
    <row r="183" ht="15.75" customHeight="1"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R183" s="67"/>
      <c r="S183" s="67"/>
      <c r="T183" s="67"/>
    </row>
    <row r="184" ht="15.75" customHeight="1"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R184" s="67"/>
      <c r="S184" s="67"/>
      <c r="T184" s="67"/>
    </row>
    <row r="185" ht="15.75" customHeight="1"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R185" s="67"/>
      <c r="S185" s="67"/>
      <c r="T185" s="67"/>
    </row>
    <row r="186" ht="15.75" customHeight="1"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R186" s="67"/>
      <c r="S186" s="67"/>
      <c r="T186" s="67"/>
    </row>
    <row r="187" ht="15.75" customHeight="1"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R187" s="67"/>
      <c r="S187" s="67"/>
      <c r="T187" s="67"/>
    </row>
    <row r="188" ht="15.75" customHeight="1"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R188" s="67"/>
      <c r="S188" s="67"/>
      <c r="T188" s="67"/>
    </row>
    <row r="189" ht="15.75" customHeight="1"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R189" s="67"/>
      <c r="S189" s="67"/>
      <c r="T189" s="67"/>
    </row>
    <row r="190" ht="15.75" customHeight="1"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R190" s="67"/>
      <c r="S190" s="67"/>
      <c r="T190" s="67"/>
    </row>
    <row r="191" ht="15.75" customHeight="1"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R191" s="67"/>
      <c r="S191" s="67"/>
      <c r="T191" s="67"/>
    </row>
    <row r="192" ht="15.75" customHeight="1"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R192" s="67"/>
      <c r="S192" s="67"/>
      <c r="T192" s="67"/>
    </row>
    <row r="193" ht="15.75" customHeight="1"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R193" s="67"/>
      <c r="S193" s="67"/>
      <c r="T193" s="67"/>
    </row>
    <row r="194" ht="15.75" customHeight="1"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R194" s="67"/>
      <c r="S194" s="67"/>
      <c r="T194" s="67"/>
    </row>
    <row r="195" ht="15.75" customHeight="1"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R195" s="67"/>
      <c r="S195" s="67"/>
      <c r="T195" s="67"/>
    </row>
    <row r="196" ht="15.75" customHeight="1"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R196" s="67"/>
      <c r="S196" s="67"/>
      <c r="T196" s="67"/>
    </row>
    <row r="197" ht="15.75" customHeight="1"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R197" s="67"/>
      <c r="S197" s="67"/>
      <c r="T197" s="67"/>
    </row>
    <row r="198" ht="15.75" customHeight="1"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R198" s="67"/>
      <c r="S198" s="67"/>
      <c r="T198" s="67"/>
    </row>
    <row r="199" ht="15.75" customHeight="1"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R199" s="67"/>
      <c r="S199" s="67"/>
      <c r="T199" s="67"/>
    </row>
    <row r="200" ht="15.75" customHeight="1"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R200" s="67"/>
      <c r="S200" s="67"/>
      <c r="T200" s="67"/>
    </row>
    <row r="201" ht="15.75" customHeight="1"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R201" s="67"/>
      <c r="S201" s="67"/>
      <c r="T201" s="67"/>
    </row>
    <row r="202" ht="15.75" customHeight="1"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R202" s="67"/>
      <c r="S202" s="67"/>
      <c r="T202" s="67"/>
    </row>
    <row r="203" ht="15.75" customHeight="1"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R203" s="67"/>
      <c r="S203" s="67"/>
      <c r="T203" s="67"/>
    </row>
    <row r="204" ht="15.75" customHeight="1"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R204" s="67"/>
      <c r="S204" s="67"/>
      <c r="T204" s="67"/>
    </row>
    <row r="205" ht="15.75" customHeight="1"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R205" s="67"/>
      <c r="S205" s="67"/>
      <c r="T205" s="67"/>
    </row>
    <row r="206" ht="15.75" customHeight="1"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R206" s="67"/>
      <c r="S206" s="67"/>
      <c r="T206" s="67"/>
    </row>
    <row r="207" ht="15.75" customHeight="1"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R207" s="67"/>
      <c r="S207" s="67"/>
      <c r="T207" s="67"/>
    </row>
    <row r="208" ht="15.75" customHeight="1"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R208" s="67"/>
      <c r="S208" s="67"/>
      <c r="T208" s="67"/>
    </row>
    <row r="209" ht="15.75" customHeight="1"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R209" s="67"/>
      <c r="S209" s="67"/>
      <c r="T209" s="67"/>
    </row>
    <row r="210" ht="15.75" customHeight="1"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R210" s="67"/>
      <c r="S210" s="67"/>
      <c r="T210" s="67"/>
    </row>
    <row r="211" ht="15.75" customHeight="1"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R211" s="67"/>
      <c r="S211" s="67"/>
      <c r="T211" s="67"/>
    </row>
    <row r="212" ht="15.75" customHeight="1"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R212" s="67"/>
      <c r="S212" s="67"/>
      <c r="T212" s="67"/>
    </row>
    <row r="213" ht="15.75" customHeight="1"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R213" s="67"/>
      <c r="S213" s="67"/>
      <c r="T213" s="67"/>
    </row>
    <row r="214" ht="15.75" customHeight="1"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R214" s="67"/>
      <c r="S214" s="67"/>
      <c r="T214" s="67"/>
    </row>
    <row r="215" ht="15.75" customHeight="1"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R215" s="67"/>
      <c r="S215" s="67"/>
      <c r="T215" s="67"/>
    </row>
    <row r="216" ht="15.75" customHeight="1"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R216" s="67"/>
      <c r="S216" s="67"/>
      <c r="T216" s="67"/>
    </row>
    <row r="217" ht="15.75" customHeight="1"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R217" s="67"/>
      <c r="S217" s="67"/>
      <c r="T217" s="67"/>
    </row>
    <row r="218" ht="15.75" customHeight="1"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R218" s="67"/>
      <c r="S218" s="67"/>
      <c r="T218" s="67"/>
    </row>
    <row r="219" ht="15.75" customHeight="1"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R219" s="67"/>
      <c r="S219" s="67"/>
      <c r="T219" s="67"/>
    </row>
    <row r="220" ht="15.75" customHeight="1"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R220" s="67"/>
      <c r="S220" s="67"/>
      <c r="T220" s="67"/>
    </row>
    <row r="221" ht="15.75" customHeight="1"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R221" s="67"/>
      <c r="S221" s="67"/>
      <c r="T221" s="67"/>
    </row>
    <row r="222" ht="15.75" customHeight="1"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R222" s="67"/>
      <c r="S222" s="67"/>
      <c r="T222" s="67"/>
    </row>
    <row r="223" ht="15.75" customHeight="1"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R223" s="67"/>
      <c r="S223" s="67"/>
      <c r="T223" s="67"/>
    </row>
    <row r="224" ht="15.75" customHeight="1"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R224" s="67"/>
      <c r="S224" s="67"/>
      <c r="T224" s="67"/>
    </row>
    <row r="225" ht="15.75" customHeight="1"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R225" s="67"/>
      <c r="S225" s="67"/>
      <c r="T225" s="67"/>
    </row>
    <row r="226" ht="15.75" customHeight="1"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R226" s="67"/>
      <c r="S226" s="67"/>
      <c r="T226" s="67"/>
    </row>
    <row r="227" ht="15.75" customHeight="1"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R227" s="67"/>
      <c r="S227" s="67"/>
      <c r="T227" s="67"/>
    </row>
    <row r="228" ht="15.75" customHeight="1"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R228" s="67"/>
      <c r="S228" s="67"/>
      <c r="T228" s="67"/>
    </row>
    <row r="229" ht="15.75" customHeight="1"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R229" s="67"/>
      <c r="S229" s="67"/>
      <c r="T229" s="67"/>
    </row>
    <row r="230" ht="15.75" customHeight="1"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R230" s="67"/>
      <c r="S230" s="67"/>
      <c r="T230" s="67"/>
    </row>
    <row r="231" ht="15.75" customHeight="1"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R231" s="67"/>
      <c r="S231" s="67"/>
      <c r="T231" s="67"/>
    </row>
    <row r="232" ht="15.75" customHeight="1"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R232" s="67"/>
      <c r="S232" s="67"/>
      <c r="T232" s="67"/>
    </row>
    <row r="233" ht="15.75" customHeight="1"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R233" s="67"/>
      <c r="S233" s="67"/>
      <c r="T233" s="67"/>
    </row>
    <row r="234" ht="15.75" customHeight="1"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R234" s="67"/>
      <c r="S234" s="67"/>
      <c r="T234" s="67"/>
    </row>
    <row r="235" ht="15.75" customHeight="1"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R235" s="67"/>
      <c r="S235" s="67"/>
      <c r="T235" s="67"/>
    </row>
    <row r="236" ht="15.75" customHeight="1"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R236" s="67"/>
      <c r="S236" s="67"/>
      <c r="T236" s="67"/>
    </row>
    <row r="237" ht="15.75" customHeight="1"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R237" s="67"/>
      <c r="S237" s="67"/>
      <c r="T237" s="67"/>
    </row>
    <row r="238" ht="15.75" customHeight="1"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R238" s="67"/>
      <c r="S238" s="67"/>
      <c r="T238" s="67"/>
    </row>
    <row r="239" ht="15.75" customHeight="1"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R239" s="67"/>
      <c r="S239" s="67"/>
      <c r="T239" s="67"/>
    </row>
    <row r="240" ht="15.75" customHeight="1"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R240" s="67"/>
      <c r="S240" s="67"/>
      <c r="T240" s="67"/>
    </row>
    <row r="241" ht="15.75" customHeight="1"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R241" s="67"/>
      <c r="S241" s="67"/>
      <c r="T241" s="67"/>
    </row>
    <row r="242" ht="15.75" customHeight="1"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R242" s="67"/>
      <c r="S242" s="67"/>
      <c r="T242" s="67"/>
    </row>
    <row r="243" ht="15.75" customHeight="1"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R243" s="67"/>
      <c r="S243" s="67"/>
      <c r="T243" s="67"/>
    </row>
    <row r="244" ht="15.75" customHeight="1"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R244" s="67"/>
      <c r="S244" s="67"/>
      <c r="T244" s="67"/>
    </row>
    <row r="245" ht="15.75" customHeight="1"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R245" s="67"/>
      <c r="S245" s="67"/>
      <c r="T245" s="67"/>
    </row>
    <row r="246" ht="15.75" customHeight="1"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R246" s="67"/>
      <c r="S246" s="67"/>
      <c r="T246" s="67"/>
    </row>
    <row r="247" ht="15.75" customHeight="1"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R247" s="67"/>
      <c r="S247" s="67"/>
      <c r="T247" s="67"/>
    </row>
    <row r="248" ht="15.75" customHeight="1"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R248" s="67"/>
      <c r="S248" s="67"/>
      <c r="T248" s="67"/>
    </row>
    <row r="249" ht="15.75" customHeight="1"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R249" s="67"/>
      <c r="S249" s="67"/>
      <c r="T249" s="67"/>
    </row>
    <row r="250" ht="15.75" customHeight="1"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R250" s="67"/>
      <c r="S250" s="67"/>
      <c r="T250" s="67"/>
    </row>
    <row r="251" ht="15.75" customHeight="1"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R251" s="67"/>
      <c r="S251" s="67"/>
      <c r="T251" s="67"/>
    </row>
    <row r="252" ht="15.75" customHeight="1"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R252" s="67"/>
      <c r="S252" s="67"/>
      <c r="T252" s="67"/>
    </row>
    <row r="253" ht="15.75" customHeight="1"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R253" s="67"/>
      <c r="S253" s="67"/>
      <c r="T253" s="67"/>
    </row>
    <row r="254" ht="15.75" customHeight="1"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R254" s="67"/>
      <c r="S254" s="67"/>
      <c r="T254" s="67"/>
    </row>
    <row r="255" ht="15.75" customHeight="1"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R255" s="67"/>
      <c r="S255" s="67"/>
      <c r="T255" s="67"/>
    </row>
    <row r="256" ht="15.75" customHeight="1"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R256" s="67"/>
      <c r="S256" s="67"/>
      <c r="T256" s="67"/>
    </row>
    <row r="257" ht="15.75" customHeight="1"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R257" s="67"/>
      <c r="S257" s="67"/>
      <c r="T257" s="67"/>
    </row>
    <row r="258" ht="15.75" customHeight="1"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R258" s="67"/>
      <c r="S258" s="67"/>
      <c r="T258" s="67"/>
    </row>
    <row r="259" ht="15.75" customHeight="1"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R259" s="67"/>
      <c r="S259" s="67"/>
      <c r="T259" s="67"/>
    </row>
    <row r="260" ht="15.75" customHeight="1"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R260" s="67"/>
      <c r="S260" s="67"/>
      <c r="T260" s="67"/>
    </row>
    <row r="261" ht="15.75" customHeight="1"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R261" s="67"/>
      <c r="S261" s="67"/>
      <c r="T261" s="67"/>
    </row>
    <row r="262" ht="15.75" customHeight="1"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R262" s="67"/>
      <c r="S262" s="67"/>
      <c r="T262" s="67"/>
    </row>
    <row r="263" ht="15.75" customHeight="1"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R263" s="67"/>
      <c r="S263" s="67"/>
      <c r="T263" s="67"/>
    </row>
    <row r="264" ht="15.75" customHeight="1"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R264" s="67"/>
      <c r="S264" s="67"/>
      <c r="T264" s="67"/>
    </row>
    <row r="265" ht="15.75" customHeight="1"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R265" s="67"/>
      <c r="S265" s="67"/>
      <c r="T265" s="67"/>
    </row>
    <row r="266" ht="15.75" customHeight="1"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R266" s="67"/>
      <c r="S266" s="67"/>
      <c r="T266" s="67"/>
    </row>
    <row r="267" ht="15.75" customHeight="1"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R267" s="67"/>
      <c r="S267" s="67"/>
      <c r="T267" s="67"/>
    </row>
    <row r="268" ht="15.75" customHeight="1"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R268" s="67"/>
      <c r="S268" s="67"/>
      <c r="T268" s="67"/>
    </row>
    <row r="269" ht="15.75" customHeight="1"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R269" s="67"/>
      <c r="S269" s="67"/>
      <c r="T269" s="67"/>
    </row>
    <row r="270" ht="15.75" customHeight="1"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R270" s="67"/>
      <c r="S270" s="67"/>
      <c r="T270" s="67"/>
    </row>
    <row r="271" ht="15.75" customHeight="1"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R271" s="67"/>
      <c r="S271" s="67"/>
      <c r="T271" s="67"/>
    </row>
    <row r="272" ht="15.75" customHeight="1"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R272" s="67"/>
      <c r="S272" s="67"/>
      <c r="T272" s="67"/>
    </row>
    <row r="273" ht="15.75" customHeight="1"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R273" s="67"/>
      <c r="S273" s="67"/>
      <c r="T273" s="67"/>
    </row>
    <row r="274" ht="15.75" customHeight="1"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R274" s="67"/>
      <c r="S274" s="67"/>
      <c r="T274" s="67"/>
    </row>
    <row r="275" ht="15.75" customHeight="1"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R275" s="67"/>
      <c r="S275" s="67"/>
      <c r="T275" s="67"/>
    </row>
    <row r="276" ht="15.75" customHeight="1"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R276" s="67"/>
      <c r="S276" s="67"/>
      <c r="T276" s="67"/>
    </row>
    <row r="277" ht="15.75" customHeight="1"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R277" s="67"/>
      <c r="S277" s="67"/>
      <c r="T277" s="67"/>
    </row>
    <row r="278" ht="15.75" customHeight="1"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R278" s="67"/>
      <c r="S278" s="67"/>
      <c r="T278" s="67"/>
    </row>
    <row r="279" ht="15.75" customHeight="1"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R279" s="67"/>
      <c r="S279" s="67"/>
      <c r="T279" s="67"/>
    </row>
    <row r="280" ht="15.75" customHeight="1"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R280" s="67"/>
      <c r="S280" s="67"/>
      <c r="T280" s="67"/>
    </row>
    <row r="281" ht="15.75" customHeight="1"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R281" s="67"/>
      <c r="S281" s="67"/>
      <c r="T281" s="67"/>
    </row>
    <row r="282" ht="15.75" customHeight="1"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R282" s="67"/>
      <c r="S282" s="67"/>
      <c r="T282" s="67"/>
    </row>
    <row r="283" ht="15.75" customHeight="1"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R283" s="67"/>
      <c r="S283" s="67"/>
      <c r="T283" s="67"/>
    </row>
    <row r="284" ht="15.75" customHeight="1"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R284" s="67"/>
      <c r="S284" s="67"/>
      <c r="T284" s="67"/>
    </row>
    <row r="285" ht="15.75" customHeight="1"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R285" s="67"/>
      <c r="S285" s="67"/>
      <c r="T285" s="67"/>
    </row>
    <row r="286" ht="15.75" customHeight="1"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R286" s="67"/>
      <c r="S286" s="67"/>
      <c r="T286" s="67"/>
    </row>
    <row r="287" ht="15.75" customHeight="1"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R287" s="67"/>
      <c r="S287" s="67"/>
      <c r="T287" s="67"/>
    </row>
    <row r="288" ht="15.75" customHeight="1"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R288" s="67"/>
      <c r="S288" s="67"/>
      <c r="T288" s="67"/>
    </row>
    <row r="289" ht="15.75" customHeight="1"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R289" s="67"/>
      <c r="S289" s="67"/>
      <c r="T289" s="67"/>
    </row>
    <row r="290" ht="15.75" customHeight="1"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R290" s="67"/>
      <c r="S290" s="67"/>
      <c r="T290" s="67"/>
    </row>
    <row r="291" ht="15.75" customHeight="1"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R291" s="67"/>
      <c r="S291" s="67"/>
      <c r="T291" s="67"/>
    </row>
    <row r="292" ht="15.75" customHeight="1"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R292" s="67"/>
      <c r="S292" s="67"/>
      <c r="T292" s="67"/>
    </row>
    <row r="293" ht="15.75" customHeight="1"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R293" s="67"/>
      <c r="S293" s="67"/>
      <c r="T293" s="67"/>
    </row>
    <row r="294" ht="15.75" customHeight="1"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R294" s="67"/>
      <c r="S294" s="67"/>
      <c r="T294" s="67"/>
    </row>
    <row r="295" ht="15.75" customHeight="1"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R295" s="67"/>
      <c r="S295" s="67"/>
      <c r="T295" s="67"/>
    </row>
    <row r="296" ht="15.75" customHeight="1"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R296" s="67"/>
      <c r="S296" s="67"/>
      <c r="T296" s="67"/>
    </row>
    <row r="297" ht="15.75" customHeight="1"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R297" s="67"/>
      <c r="S297" s="67"/>
      <c r="T297" s="67"/>
    </row>
    <row r="298" ht="15.75" customHeight="1"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R298" s="67"/>
      <c r="S298" s="67"/>
      <c r="T298" s="67"/>
    </row>
    <row r="299" ht="15.75" customHeight="1"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R299" s="67"/>
      <c r="S299" s="67"/>
      <c r="T299" s="67"/>
    </row>
    <row r="300" ht="15.75" customHeight="1"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R300" s="67"/>
      <c r="S300" s="67"/>
      <c r="T300" s="67"/>
    </row>
    <row r="301" ht="15.75" customHeight="1"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R301" s="67"/>
      <c r="S301" s="67"/>
      <c r="T301" s="67"/>
    </row>
    <row r="302" ht="15.75" customHeight="1"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R302" s="67"/>
      <c r="S302" s="67"/>
      <c r="T302" s="67"/>
    </row>
    <row r="303" ht="15.75" customHeight="1"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R303" s="67"/>
      <c r="S303" s="67"/>
      <c r="T303" s="67"/>
    </row>
    <row r="304" ht="15.75" customHeight="1"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R304" s="67"/>
      <c r="S304" s="67"/>
      <c r="T304" s="67"/>
    </row>
    <row r="305" ht="15.75" customHeight="1"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R305" s="67"/>
      <c r="S305" s="67"/>
      <c r="T305" s="67"/>
    </row>
    <row r="306" ht="15.75" customHeight="1"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R306" s="67"/>
      <c r="S306" s="67"/>
      <c r="T306" s="67"/>
    </row>
    <row r="307" ht="15.75" customHeight="1"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R307" s="67"/>
      <c r="S307" s="67"/>
      <c r="T307" s="67"/>
    </row>
    <row r="308" ht="15.75" customHeight="1"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R308" s="67"/>
      <c r="S308" s="67"/>
      <c r="T308" s="67"/>
    </row>
    <row r="309" ht="15.75" customHeight="1"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R309" s="67"/>
      <c r="S309" s="67"/>
      <c r="T309" s="67"/>
    </row>
    <row r="310" ht="15.75" customHeight="1"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R310" s="67"/>
      <c r="S310" s="67"/>
      <c r="T310" s="67"/>
    </row>
    <row r="311" ht="15.75" customHeight="1"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R311" s="67"/>
      <c r="S311" s="67"/>
      <c r="T311" s="67"/>
    </row>
    <row r="312" ht="15.75" customHeight="1"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R312" s="67"/>
      <c r="S312" s="67"/>
      <c r="T312" s="67"/>
    </row>
    <row r="313" ht="15.75" customHeight="1"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R313" s="67"/>
      <c r="S313" s="67"/>
      <c r="T313" s="67"/>
    </row>
    <row r="314" ht="15.75" customHeight="1"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R314" s="67"/>
      <c r="S314" s="67"/>
      <c r="T314" s="67"/>
    </row>
    <row r="315" ht="15.75" customHeight="1"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R315" s="67"/>
      <c r="S315" s="67"/>
      <c r="T315" s="67"/>
    </row>
    <row r="316" ht="15.75" customHeight="1"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R316" s="67"/>
      <c r="S316" s="67"/>
      <c r="T316" s="67"/>
    </row>
    <row r="317" ht="15.75" customHeight="1"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R317" s="67"/>
      <c r="S317" s="67"/>
      <c r="T317" s="67"/>
    </row>
    <row r="318" ht="15.75" customHeight="1"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R318" s="67"/>
      <c r="S318" s="67"/>
      <c r="T318" s="67"/>
    </row>
    <row r="319" ht="15.75" customHeight="1"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R319" s="67"/>
      <c r="S319" s="67"/>
      <c r="T319" s="67"/>
    </row>
    <row r="320" ht="15.75" customHeight="1"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R320" s="67"/>
      <c r="S320" s="67"/>
      <c r="T320" s="67"/>
    </row>
    <row r="321" ht="15.75" customHeight="1"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R321" s="67"/>
      <c r="S321" s="67"/>
      <c r="T321" s="67"/>
    </row>
    <row r="322" ht="15.75" customHeight="1"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R322" s="67"/>
      <c r="S322" s="67"/>
      <c r="T322" s="67"/>
    </row>
    <row r="323" ht="15.75" customHeight="1"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R323" s="67"/>
      <c r="S323" s="67"/>
      <c r="T323" s="67"/>
    </row>
    <row r="324" ht="15.75" customHeight="1"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R324" s="67"/>
      <c r="S324" s="67"/>
      <c r="T324" s="67"/>
    </row>
    <row r="325" ht="15.75" customHeight="1"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R325" s="67"/>
      <c r="S325" s="67"/>
      <c r="T325" s="67"/>
    </row>
    <row r="326" ht="15.75" customHeight="1"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R326" s="67"/>
      <c r="S326" s="67"/>
      <c r="T326" s="67"/>
    </row>
    <row r="327" ht="15.75" customHeight="1"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R327" s="67"/>
      <c r="S327" s="67"/>
      <c r="T327" s="67"/>
    </row>
    <row r="328" ht="15.75" customHeight="1"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R328" s="67"/>
      <c r="S328" s="67"/>
      <c r="T328" s="67"/>
    </row>
    <row r="329" ht="15.75" customHeight="1"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R329" s="67"/>
      <c r="S329" s="67"/>
      <c r="T329" s="67"/>
    </row>
    <row r="330" ht="15.75" customHeight="1"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R330" s="67"/>
      <c r="S330" s="67"/>
      <c r="T330" s="67"/>
    </row>
    <row r="331" ht="15.75" customHeight="1"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R331" s="67"/>
      <c r="S331" s="67"/>
      <c r="T331" s="67"/>
    </row>
    <row r="332" ht="15.75" customHeight="1"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R332" s="67"/>
      <c r="S332" s="67"/>
      <c r="T332" s="67"/>
    </row>
    <row r="333" ht="15.75" customHeight="1"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R333" s="67"/>
      <c r="S333" s="67"/>
      <c r="T333" s="67"/>
    </row>
    <row r="334" ht="15.75" customHeight="1"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R334" s="67"/>
      <c r="S334" s="67"/>
      <c r="T334" s="67"/>
    </row>
    <row r="335" ht="15.75" customHeight="1"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R335" s="67"/>
      <c r="S335" s="67"/>
      <c r="T335" s="67"/>
    </row>
    <row r="336" ht="15.75" customHeight="1"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R336" s="67"/>
      <c r="S336" s="67"/>
      <c r="T336" s="67"/>
    </row>
    <row r="337" ht="15.75" customHeight="1"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R337" s="67"/>
      <c r="S337" s="67"/>
      <c r="T337" s="67"/>
    </row>
    <row r="338" ht="15.75" customHeight="1"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R338" s="67"/>
      <c r="S338" s="67"/>
      <c r="T338" s="67"/>
    </row>
    <row r="339" ht="15.75" customHeight="1"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R339" s="67"/>
      <c r="S339" s="67"/>
      <c r="T339" s="67"/>
    </row>
    <row r="340" ht="15.75" customHeight="1"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R340" s="67"/>
      <c r="S340" s="67"/>
      <c r="T340" s="67"/>
    </row>
    <row r="341" ht="15.75" customHeight="1"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R341" s="67"/>
      <c r="S341" s="67"/>
      <c r="T341" s="67"/>
    </row>
    <row r="342" ht="15.75" customHeight="1"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R342" s="67"/>
      <c r="S342" s="67"/>
      <c r="T342" s="67"/>
    </row>
    <row r="343" ht="15.75" customHeight="1"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R343" s="67"/>
      <c r="S343" s="67"/>
      <c r="T343" s="67"/>
    </row>
    <row r="344" ht="15.75" customHeight="1"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R344" s="67"/>
      <c r="S344" s="67"/>
      <c r="T344" s="67"/>
    </row>
    <row r="345" ht="15.75" customHeight="1"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R345" s="67"/>
      <c r="S345" s="67"/>
      <c r="T345" s="67"/>
    </row>
    <row r="346" ht="15.75" customHeight="1"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R346" s="67"/>
      <c r="S346" s="67"/>
      <c r="T346" s="67"/>
    </row>
    <row r="347" ht="15.75" customHeight="1"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R347" s="67"/>
      <c r="S347" s="67"/>
      <c r="T347" s="67"/>
    </row>
    <row r="348" ht="15.75" customHeight="1"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R348" s="67"/>
      <c r="S348" s="67"/>
      <c r="T348" s="67"/>
    </row>
    <row r="349" ht="15.75" customHeight="1"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R349" s="67"/>
      <c r="S349" s="67"/>
      <c r="T349" s="67"/>
    </row>
    <row r="350" ht="15.75" customHeight="1"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R350" s="67"/>
      <c r="S350" s="67"/>
      <c r="T350" s="67"/>
    </row>
    <row r="351" ht="15.75" customHeight="1"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R351" s="67"/>
      <c r="S351" s="67"/>
      <c r="T351" s="67"/>
    </row>
    <row r="352" ht="15.75" customHeight="1"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R352" s="67"/>
      <c r="S352" s="67"/>
      <c r="T352" s="67"/>
    </row>
    <row r="353" ht="15.75" customHeight="1"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R353" s="67"/>
      <c r="S353" s="67"/>
      <c r="T353" s="67"/>
    </row>
    <row r="354" ht="15.75" customHeight="1"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R354" s="67"/>
      <c r="S354" s="67"/>
      <c r="T354" s="67"/>
    </row>
    <row r="355" ht="15.75" customHeight="1"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R355" s="67"/>
      <c r="S355" s="67"/>
      <c r="T355" s="67"/>
    </row>
    <row r="356" ht="15.75" customHeight="1"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R356" s="67"/>
      <c r="S356" s="67"/>
      <c r="T356" s="67"/>
    </row>
    <row r="357" ht="15.75" customHeight="1"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R357" s="67"/>
      <c r="S357" s="67"/>
      <c r="T357" s="67"/>
    </row>
    <row r="358" ht="15.75" customHeight="1"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R358" s="67"/>
      <c r="S358" s="67"/>
      <c r="T358" s="67"/>
    </row>
    <row r="359" ht="15.75" customHeight="1"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R359" s="67"/>
      <c r="S359" s="67"/>
      <c r="T359" s="67"/>
    </row>
    <row r="360" ht="15.75" customHeight="1"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R360" s="67"/>
      <c r="S360" s="67"/>
      <c r="T360" s="67"/>
    </row>
    <row r="361" ht="15.75" customHeight="1"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R361" s="67"/>
      <c r="S361" s="67"/>
      <c r="T361" s="67"/>
    </row>
    <row r="362" ht="15.75" customHeight="1"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R362" s="67"/>
      <c r="S362" s="67"/>
      <c r="T362" s="67"/>
    </row>
    <row r="363" ht="15.75" customHeight="1"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R363" s="67"/>
      <c r="S363" s="67"/>
      <c r="T363" s="67"/>
    </row>
    <row r="364" ht="15.75" customHeight="1"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R364" s="67"/>
      <c r="S364" s="67"/>
      <c r="T364" s="67"/>
    </row>
    <row r="365" ht="15.75" customHeight="1"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R365" s="67"/>
      <c r="S365" s="67"/>
      <c r="T365" s="67"/>
    </row>
    <row r="366" ht="15.75" customHeight="1"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R366" s="67"/>
      <c r="S366" s="67"/>
      <c r="T366" s="67"/>
    </row>
    <row r="367" ht="15.75" customHeight="1"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R367" s="67"/>
      <c r="S367" s="67"/>
      <c r="T367" s="67"/>
    </row>
    <row r="368" ht="15.75" customHeight="1"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R368" s="67"/>
      <c r="S368" s="67"/>
      <c r="T368" s="67"/>
    </row>
    <row r="369" ht="15.75" customHeight="1"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R369" s="67"/>
      <c r="S369" s="67"/>
      <c r="T369" s="67"/>
    </row>
    <row r="370" ht="15.75" customHeight="1"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R370" s="67"/>
      <c r="S370" s="67"/>
      <c r="T370" s="67"/>
    </row>
    <row r="371" ht="15.75" customHeight="1"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R371" s="67"/>
      <c r="S371" s="67"/>
      <c r="T371" s="67"/>
    </row>
    <row r="372" ht="15.75" customHeight="1"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R372" s="67"/>
      <c r="S372" s="67"/>
      <c r="T372" s="67"/>
    </row>
    <row r="373" ht="15.75" customHeight="1"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R373" s="67"/>
      <c r="S373" s="67"/>
      <c r="T373" s="67"/>
    </row>
    <row r="374" ht="15.75" customHeight="1"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R374" s="67"/>
      <c r="S374" s="67"/>
      <c r="T374" s="67"/>
    </row>
    <row r="375" ht="15.75" customHeight="1"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R375" s="67"/>
      <c r="S375" s="67"/>
      <c r="T375" s="67"/>
    </row>
    <row r="376" ht="15.75" customHeight="1"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R376" s="67"/>
      <c r="S376" s="67"/>
      <c r="T376" s="67"/>
    </row>
    <row r="377" ht="15.75" customHeight="1"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R377" s="67"/>
      <c r="S377" s="67"/>
      <c r="T377" s="67"/>
    </row>
    <row r="378" ht="15.75" customHeight="1"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R378" s="67"/>
      <c r="S378" s="67"/>
      <c r="T378" s="67"/>
    </row>
    <row r="379" ht="15.75" customHeight="1"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R379" s="67"/>
      <c r="S379" s="67"/>
      <c r="T379" s="67"/>
    </row>
    <row r="380" ht="15.75" customHeight="1"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R380" s="67"/>
      <c r="S380" s="67"/>
      <c r="T380" s="67"/>
    </row>
    <row r="381" ht="15.75" customHeight="1"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R381" s="67"/>
      <c r="S381" s="67"/>
      <c r="T381" s="67"/>
    </row>
    <row r="382" ht="15.75" customHeight="1"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R382" s="67"/>
      <c r="S382" s="67"/>
      <c r="T382" s="67"/>
    </row>
    <row r="383" ht="15.75" customHeight="1"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R383" s="67"/>
      <c r="S383" s="67"/>
      <c r="T383" s="67"/>
    </row>
    <row r="384" ht="15.75" customHeight="1"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R384" s="67"/>
      <c r="S384" s="67"/>
      <c r="T384" s="67"/>
    </row>
    <row r="385" ht="15.75" customHeight="1"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R385" s="67"/>
      <c r="S385" s="67"/>
      <c r="T385" s="67"/>
    </row>
    <row r="386" ht="15.75" customHeight="1"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R386" s="67"/>
      <c r="S386" s="67"/>
      <c r="T386" s="67"/>
    </row>
    <row r="387" ht="15.75" customHeight="1"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R387" s="67"/>
      <c r="S387" s="67"/>
      <c r="T387" s="67"/>
    </row>
    <row r="388" ht="15.75" customHeight="1"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R388" s="67"/>
      <c r="S388" s="67"/>
      <c r="T388" s="67"/>
    </row>
    <row r="389" ht="15.75" customHeight="1"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R389" s="67"/>
      <c r="S389" s="67"/>
      <c r="T389" s="67"/>
    </row>
    <row r="390" ht="15.75" customHeight="1"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R390" s="67"/>
      <c r="S390" s="67"/>
      <c r="T390" s="67"/>
    </row>
    <row r="391" ht="15.75" customHeight="1"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R391" s="67"/>
      <c r="S391" s="67"/>
      <c r="T391" s="67"/>
    </row>
    <row r="392" ht="15.75" customHeight="1"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R392" s="67"/>
      <c r="S392" s="67"/>
      <c r="T392" s="67"/>
    </row>
    <row r="393" ht="15.75" customHeight="1"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R393" s="67"/>
      <c r="S393" s="67"/>
      <c r="T393" s="67"/>
    </row>
    <row r="394" ht="15.75" customHeight="1"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R394" s="67"/>
      <c r="S394" s="67"/>
      <c r="T394" s="67"/>
    </row>
    <row r="395" ht="15.75" customHeight="1"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R395" s="67"/>
      <c r="S395" s="67"/>
      <c r="T395" s="67"/>
    </row>
    <row r="396" ht="15.75" customHeight="1"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R396" s="67"/>
      <c r="S396" s="67"/>
      <c r="T396" s="67"/>
    </row>
    <row r="397" ht="15.75" customHeight="1"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R397" s="67"/>
      <c r="S397" s="67"/>
      <c r="T397" s="67"/>
    </row>
    <row r="398" ht="15.75" customHeight="1"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R398" s="67"/>
      <c r="S398" s="67"/>
      <c r="T398" s="67"/>
    </row>
    <row r="399" ht="15.75" customHeight="1"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R399" s="67"/>
      <c r="S399" s="67"/>
      <c r="T399" s="67"/>
    </row>
    <row r="400" ht="15.75" customHeight="1"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R400" s="67"/>
      <c r="S400" s="67"/>
      <c r="T400" s="67"/>
    </row>
    <row r="401" ht="15.75" customHeight="1"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R401" s="67"/>
      <c r="S401" s="67"/>
      <c r="T401" s="67"/>
    </row>
    <row r="402" ht="15.75" customHeight="1"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R402" s="67"/>
      <c r="S402" s="67"/>
      <c r="T402" s="67"/>
    </row>
    <row r="403" ht="15.75" customHeight="1"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R403" s="67"/>
      <c r="S403" s="67"/>
      <c r="T403" s="67"/>
    </row>
    <row r="404" ht="15.75" customHeight="1"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R404" s="67"/>
      <c r="S404" s="67"/>
      <c r="T404" s="67"/>
    </row>
    <row r="405" ht="15.75" customHeight="1"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R405" s="67"/>
      <c r="S405" s="67"/>
      <c r="T405" s="67"/>
    </row>
    <row r="406" ht="15.75" customHeight="1"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R406" s="67"/>
      <c r="S406" s="67"/>
      <c r="T406" s="67"/>
    </row>
    <row r="407" ht="15.75" customHeight="1"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R407" s="67"/>
      <c r="S407" s="67"/>
      <c r="T407" s="67"/>
    </row>
    <row r="408" ht="15.75" customHeight="1"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R408" s="67"/>
      <c r="S408" s="67"/>
      <c r="T408" s="67"/>
    </row>
    <row r="409" ht="15.75" customHeight="1"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R409" s="67"/>
      <c r="S409" s="67"/>
      <c r="T409" s="67"/>
    </row>
    <row r="410" ht="15.75" customHeight="1"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R410" s="67"/>
      <c r="S410" s="67"/>
      <c r="T410" s="67"/>
    </row>
    <row r="411" ht="15.75" customHeight="1"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R411" s="67"/>
      <c r="S411" s="67"/>
      <c r="T411" s="67"/>
    </row>
    <row r="412" ht="15.75" customHeight="1"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R412" s="67"/>
      <c r="S412" s="67"/>
      <c r="T412" s="67"/>
    </row>
    <row r="413" ht="15.75" customHeight="1"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R413" s="67"/>
      <c r="S413" s="67"/>
      <c r="T413" s="67"/>
    </row>
    <row r="414" ht="15.75" customHeight="1"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R414" s="67"/>
      <c r="S414" s="67"/>
      <c r="T414" s="67"/>
    </row>
    <row r="415" ht="15.75" customHeight="1"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R415" s="67"/>
      <c r="S415" s="67"/>
      <c r="T415" s="67"/>
    </row>
    <row r="416" ht="15.75" customHeight="1"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R416" s="67"/>
      <c r="S416" s="67"/>
      <c r="T416" s="67"/>
    </row>
    <row r="417" ht="15.75" customHeight="1"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R417" s="67"/>
      <c r="S417" s="67"/>
      <c r="T417" s="67"/>
    </row>
    <row r="418" ht="15.75" customHeight="1"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R418" s="67"/>
      <c r="S418" s="67"/>
      <c r="T418" s="67"/>
    </row>
    <row r="419" ht="15.75" customHeight="1"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R419" s="67"/>
      <c r="S419" s="67"/>
      <c r="T419" s="67"/>
    </row>
    <row r="420" ht="15.75" customHeight="1"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R420" s="67"/>
      <c r="S420" s="67"/>
      <c r="T420" s="67"/>
    </row>
    <row r="421" ht="15.75" customHeight="1"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R421" s="67"/>
      <c r="S421" s="67"/>
      <c r="T421" s="67"/>
    </row>
    <row r="422" ht="15.75" customHeight="1"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R422" s="67"/>
      <c r="S422" s="67"/>
      <c r="T422" s="67"/>
    </row>
    <row r="423" ht="15.75" customHeight="1"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R423" s="67"/>
      <c r="S423" s="67"/>
      <c r="T423" s="67"/>
    </row>
    <row r="424" ht="15.75" customHeight="1"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R424" s="67"/>
      <c r="S424" s="67"/>
      <c r="T424" s="67"/>
    </row>
    <row r="425" ht="15.75" customHeight="1"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R425" s="67"/>
      <c r="S425" s="67"/>
      <c r="T425" s="67"/>
    </row>
    <row r="426" ht="15.75" customHeight="1"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R426" s="67"/>
      <c r="S426" s="67"/>
      <c r="T426" s="67"/>
    </row>
    <row r="427" ht="15.75" customHeight="1"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R427" s="67"/>
      <c r="S427" s="67"/>
      <c r="T427" s="67"/>
    </row>
    <row r="428" ht="15.75" customHeight="1"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R428" s="67"/>
      <c r="S428" s="67"/>
      <c r="T428" s="67"/>
    </row>
    <row r="429" ht="15.75" customHeight="1"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R429" s="67"/>
      <c r="S429" s="67"/>
      <c r="T429" s="67"/>
    </row>
    <row r="430" ht="15.75" customHeight="1"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R430" s="67"/>
      <c r="S430" s="67"/>
      <c r="T430" s="67"/>
    </row>
    <row r="431" ht="15.75" customHeight="1"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R431" s="67"/>
      <c r="S431" s="67"/>
      <c r="T431" s="67"/>
    </row>
    <row r="432" ht="15.75" customHeight="1"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R432" s="67"/>
      <c r="S432" s="67"/>
      <c r="T432" s="67"/>
    </row>
    <row r="433" ht="15.75" customHeight="1"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R433" s="67"/>
      <c r="S433" s="67"/>
      <c r="T433" s="67"/>
    </row>
    <row r="434" ht="15.75" customHeight="1"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R434" s="67"/>
      <c r="S434" s="67"/>
      <c r="T434" s="67"/>
    </row>
    <row r="435" ht="15.75" customHeight="1"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R435" s="67"/>
      <c r="S435" s="67"/>
      <c r="T435" s="67"/>
    </row>
    <row r="436" ht="15.75" customHeight="1"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R436" s="67"/>
      <c r="S436" s="67"/>
      <c r="T436" s="67"/>
    </row>
    <row r="437" ht="15.75" customHeight="1"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R437" s="67"/>
      <c r="S437" s="67"/>
      <c r="T437" s="67"/>
    </row>
    <row r="438" ht="15.75" customHeight="1"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R438" s="67"/>
      <c r="S438" s="67"/>
      <c r="T438" s="67"/>
    </row>
    <row r="439" ht="15.75" customHeight="1"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R439" s="67"/>
      <c r="S439" s="67"/>
      <c r="T439" s="67"/>
    </row>
    <row r="440" ht="15.75" customHeight="1"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R440" s="67"/>
      <c r="S440" s="67"/>
      <c r="T440" s="67"/>
    </row>
    <row r="441" ht="15.75" customHeight="1"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R441" s="67"/>
      <c r="S441" s="67"/>
      <c r="T441" s="67"/>
    </row>
    <row r="442" ht="15.75" customHeight="1"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R442" s="67"/>
      <c r="S442" s="67"/>
      <c r="T442" s="67"/>
    </row>
    <row r="443" ht="15.75" customHeight="1"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R443" s="67"/>
      <c r="S443" s="67"/>
      <c r="T443" s="67"/>
    </row>
    <row r="444" ht="15.75" customHeight="1"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R444" s="67"/>
      <c r="S444" s="67"/>
      <c r="T444" s="67"/>
    </row>
    <row r="445" ht="15.75" customHeight="1"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R445" s="67"/>
      <c r="S445" s="67"/>
      <c r="T445" s="67"/>
    </row>
    <row r="446" ht="15.75" customHeight="1"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R446" s="67"/>
      <c r="S446" s="67"/>
      <c r="T446" s="67"/>
    </row>
    <row r="447" ht="15.75" customHeight="1"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R447" s="67"/>
      <c r="S447" s="67"/>
      <c r="T447" s="67"/>
    </row>
    <row r="448" ht="15.75" customHeight="1"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R448" s="67"/>
      <c r="S448" s="67"/>
      <c r="T448" s="67"/>
    </row>
    <row r="449" ht="15.75" customHeight="1"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R449" s="67"/>
      <c r="S449" s="67"/>
      <c r="T449" s="67"/>
    </row>
    <row r="450" ht="15.75" customHeight="1"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R450" s="67"/>
      <c r="S450" s="67"/>
      <c r="T450" s="67"/>
    </row>
    <row r="451" ht="15.75" customHeight="1"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R451" s="67"/>
      <c r="S451" s="67"/>
      <c r="T451" s="67"/>
    </row>
    <row r="452" ht="15.75" customHeight="1"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R452" s="67"/>
      <c r="S452" s="67"/>
      <c r="T452" s="67"/>
    </row>
    <row r="453" ht="15.75" customHeight="1"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R453" s="67"/>
      <c r="S453" s="67"/>
      <c r="T453" s="67"/>
    </row>
    <row r="454" ht="15.75" customHeight="1"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R454" s="67"/>
      <c r="S454" s="67"/>
      <c r="T454" s="67"/>
    </row>
    <row r="455" ht="15.75" customHeight="1"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R455" s="67"/>
      <c r="S455" s="67"/>
      <c r="T455" s="67"/>
    </row>
    <row r="456" ht="15.75" customHeight="1"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R456" s="67"/>
      <c r="S456" s="67"/>
      <c r="T456" s="67"/>
    </row>
    <row r="457" ht="15.75" customHeight="1"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R457" s="67"/>
      <c r="S457" s="67"/>
      <c r="T457" s="67"/>
    </row>
    <row r="458" ht="15.75" customHeight="1"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R458" s="67"/>
      <c r="S458" s="67"/>
      <c r="T458" s="67"/>
    </row>
    <row r="459" ht="15.75" customHeight="1"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R459" s="67"/>
      <c r="S459" s="67"/>
      <c r="T459" s="67"/>
    </row>
    <row r="460" ht="15.75" customHeight="1"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R460" s="67"/>
      <c r="S460" s="67"/>
      <c r="T460" s="67"/>
    </row>
    <row r="461" ht="15.75" customHeight="1"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R461" s="67"/>
      <c r="S461" s="67"/>
      <c r="T461" s="67"/>
    </row>
    <row r="462" ht="15.75" customHeight="1"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R462" s="67"/>
      <c r="S462" s="67"/>
      <c r="T462" s="67"/>
    </row>
    <row r="463" ht="15.75" customHeight="1"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R463" s="67"/>
      <c r="S463" s="67"/>
      <c r="T463" s="67"/>
    </row>
    <row r="464" ht="15.75" customHeight="1"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R464" s="67"/>
      <c r="S464" s="67"/>
      <c r="T464" s="67"/>
    </row>
    <row r="465" ht="15.75" customHeight="1"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R465" s="67"/>
      <c r="S465" s="67"/>
      <c r="T465" s="67"/>
    </row>
    <row r="466" ht="15.75" customHeight="1"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R466" s="67"/>
      <c r="S466" s="67"/>
      <c r="T466" s="67"/>
    </row>
    <row r="467" ht="15.75" customHeight="1"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R467" s="67"/>
      <c r="S467" s="67"/>
      <c r="T467" s="67"/>
    </row>
    <row r="468" ht="15.75" customHeight="1"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R468" s="67"/>
      <c r="S468" s="67"/>
      <c r="T468" s="67"/>
    </row>
    <row r="469" ht="15.75" customHeight="1"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R469" s="67"/>
      <c r="S469" s="67"/>
      <c r="T469" s="67"/>
    </row>
    <row r="470" ht="15.75" customHeight="1"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R470" s="67"/>
      <c r="S470" s="67"/>
      <c r="T470" s="67"/>
    </row>
    <row r="471" ht="15.75" customHeight="1"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R471" s="67"/>
      <c r="S471" s="67"/>
      <c r="T471" s="67"/>
    </row>
    <row r="472" ht="15.75" customHeight="1"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R472" s="67"/>
      <c r="S472" s="67"/>
      <c r="T472" s="67"/>
    </row>
    <row r="473" ht="15.75" customHeight="1"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R473" s="67"/>
      <c r="S473" s="67"/>
      <c r="T473" s="67"/>
    </row>
    <row r="474" ht="15.75" customHeight="1"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R474" s="67"/>
      <c r="S474" s="67"/>
      <c r="T474" s="67"/>
    </row>
    <row r="475" ht="15.75" customHeight="1"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R475" s="67"/>
      <c r="S475" s="67"/>
      <c r="T475" s="67"/>
    </row>
    <row r="476" ht="15.75" customHeight="1"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R476" s="67"/>
      <c r="S476" s="67"/>
      <c r="T476" s="67"/>
    </row>
    <row r="477" ht="15.75" customHeight="1"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R477" s="67"/>
      <c r="S477" s="67"/>
      <c r="T477" s="67"/>
    </row>
    <row r="478" ht="15.75" customHeight="1"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R478" s="67"/>
      <c r="S478" s="67"/>
      <c r="T478" s="67"/>
    </row>
    <row r="479" ht="15.75" customHeight="1"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R479" s="67"/>
      <c r="S479" s="67"/>
      <c r="T479" s="67"/>
    </row>
    <row r="480" ht="15.75" customHeight="1"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R480" s="67"/>
      <c r="S480" s="67"/>
      <c r="T480" s="67"/>
    </row>
    <row r="481" ht="15.75" customHeight="1"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R481" s="67"/>
      <c r="S481" s="67"/>
      <c r="T481" s="67"/>
    </row>
    <row r="482" ht="15.75" customHeight="1"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R482" s="67"/>
      <c r="S482" s="67"/>
      <c r="T482" s="67"/>
    </row>
    <row r="483" ht="15.75" customHeight="1"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R483" s="67"/>
      <c r="S483" s="67"/>
      <c r="T483" s="67"/>
    </row>
    <row r="484" ht="15.75" customHeight="1"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R484" s="67"/>
      <c r="S484" s="67"/>
      <c r="T484" s="67"/>
    </row>
    <row r="485" ht="15.75" customHeight="1"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R485" s="67"/>
      <c r="S485" s="67"/>
      <c r="T485" s="67"/>
    </row>
    <row r="486" ht="15.75" customHeight="1"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R486" s="67"/>
      <c r="S486" s="67"/>
      <c r="T486" s="67"/>
    </row>
    <row r="487" ht="15.75" customHeight="1"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R487" s="67"/>
      <c r="S487" s="67"/>
      <c r="T487" s="67"/>
    </row>
    <row r="488" ht="15.75" customHeight="1"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R488" s="67"/>
      <c r="S488" s="67"/>
      <c r="T488" s="67"/>
    </row>
    <row r="489" ht="15.75" customHeight="1"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R489" s="67"/>
      <c r="S489" s="67"/>
      <c r="T489" s="67"/>
    </row>
    <row r="490" ht="15.75" customHeight="1"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R490" s="67"/>
      <c r="S490" s="67"/>
      <c r="T490" s="67"/>
    </row>
    <row r="491" ht="15.75" customHeight="1"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R491" s="67"/>
      <c r="S491" s="67"/>
      <c r="T491" s="67"/>
    </row>
    <row r="492" ht="15.75" customHeight="1"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R492" s="67"/>
      <c r="S492" s="67"/>
      <c r="T492" s="67"/>
    </row>
    <row r="493" ht="15.75" customHeight="1"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R493" s="67"/>
      <c r="S493" s="67"/>
      <c r="T493" s="67"/>
    </row>
    <row r="494" ht="15.75" customHeight="1"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R494" s="67"/>
      <c r="S494" s="67"/>
      <c r="T494" s="67"/>
    </row>
    <row r="495" ht="15.75" customHeight="1"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R495" s="67"/>
      <c r="S495" s="67"/>
      <c r="T495" s="67"/>
    </row>
    <row r="496" ht="15.75" customHeight="1"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R496" s="67"/>
      <c r="S496" s="67"/>
      <c r="T496" s="67"/>
    </row>
    <row r="497" ht="15.75" customHeight="1"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R497" s="67"/>
      <c r="S497" s="67"/>
      <c r="T497" s="67"/>
    </row>
    <row r="498" ht="15.75" customHeight="1"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R498" s="67"/>
      <c r="S498" s="67"/>
      <c r="T498" s="67"/>
    </row>
    <row r="499" ht="15.75" customHeight="1"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R499" s="67"/>
      <c r="S499" s="67"/>
      <c r="T499" s="67"/>
    </row>
    <row r="500" ht="15.75" customHeight="1"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R500" s="67"/>
      <c r="S500" s="67"/>
      <c r="T500" s="67"/>
    </row>
    <row r="501" ht="15.75" customHeight="1"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R501" s="67"/>
      <c r="S501" s="67"/>
      <c r="T501" s="67"/>
    </row>
    <row r="502" ht="15.75" customHeight="1"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R502" s="67"/>
      <c r="S502" s="67"/>
      <c r="T502" s="67"/>
    </row>
    <row r="503" ht="15.75" customHeight="1"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R503" s="67"/>
      <c r="S503" s="67"/>
      <c r="T503" s="67"/>
    </row>
    <row r="504" ht="15.75" customHeight="1"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R504" s="67"/>
      <c r="S504" s="67"/>
      <c r="T504" s="67"/>
    </row>
    <row r="505" ht="15.75" customHeight="1"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R505" s="67"/>
      <c r="S505" s="67"/>
      <c r="T505" s="67"/>
    </row>
    <row r="506" ht="15.75" customHeight="1"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R506" s="67"/>
      <c r="S506" s="67"/>
      <c r="T506" s="67"/>
    </row>
    <row r="507" ht="15.75" customHeight="1"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R507" s="67"/>
      <c r="S507" s="67"/>
      <c r="T507" s="67"/>
    </row>
    <row r="508" ht="15.75" customHeight="1"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R508" s="67"/>
      <c r="S508" s="67"/>
      <c r="T508" s="67"/>
    </row>
    <row r="509" ht="15.75" customHeight="1"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R509" s="67"/>
      <c r="S509" s="67"/>
      <c r="T509" s="67"/>
    </row>
    <row r="510" ht="15.75" customHeight="1"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R510" s="67"/>
      <c r="S510" s="67"/>
      <c r="T510" s="67"/>
    </row>
    <row r="511" ht="15.75" customHeight="1"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R511" s="67"/>
      <c r="S511" s="67"/>
      <c r="T511" s="67"/>
    </row>
    <row r="512" ht="15.75" customHeight="1"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R512" s="67"/>
      <c r="S512" s="67"/>
      <c r="T512" s="67"/>
    </row>
    <row r="513" ht="15.75" customHeight="1"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R513" s="67"/>
      <c r="S513" s="67"/>
      <c r="T513" s="67"/>
    </row>
    <row r="514" ht="15.75" customHeight="1"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R514" s="67"/>
      <c r="S514" s="67"/>
      <c r="T514" s="67"/>
    </row>
    <row r="515" ht="15.75" customHeight="1"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R515" s="67"/>
      <c r="S515" s="67"/>
      <c r="T515" s="67"/>
    </row>
    <row r="516" ht="15.75" customHeight="1"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R516" s="67"/>
      <c r="S516" s="67"/>
      <c r="T516" s="67"/>
    </row>
    <row r="517" ht="15.75" customHeight="1"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R517" s="67"/>
      <c r="S517" s="67"/>
      <c r="T517" s="67"/>
    </row>
    <row r="518" ht="15.75" customHeight="1"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R518" s="67"/>
      <c r="S518" s="67"/>
      <c r="T518" s="67"/>
    </row>
    <row r="519" ht="15.75" customHeight="1"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R519" s="67"/>
      <c r="S519" s="67"/>
      <c r="T519" s="67"/>
    </row>
    <row r="520" ht="15.75" customHeight="1"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R520" s="67"/>
      <c r="S520" s="67"/>
      <c r="T520" s="67"/>
    </row>
    <row r="521" ht="15.75" customHeight="1"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R521" s="67"/>
      <c r="S521" s="67"/>
      <c r="T521" s="67"/>
    </row>
    <row r="522" ht="15.75" customHeight="1"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R522" s="67"/>
      <c r="S522" s="67"/>
      <c r="T522" s="67"/>
    </row>
    <row r="523" ht="15.75" customHeight="1"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R523" s="67"/>
      <c r="S523" s="67"/>
      <c r="T523" s="67"/>
    </row>
    <row r="524" ht="15.75" customHeight="1"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R524" s="67"/>
      <c r="S524" s="67"/>
      <c r="T524" s="67"/>
    </row>
    <row r="525" ht="15.75" customHeight="1"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R525" s="67"/>
      <c r="S525" s="67"/>
      <c r="T525" s="67"/>
    </row>
    <row r="526" ht="15.75" customHeight="1"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R526" s="67"/>
      <c r="S526" s="67"/>
      <c r="T526" s="67"/>
    </row>
    <row r="527" ht="15.75" customHeight="1"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R527" s="67"/>
      <c r="S527" s="67"/>
      <c r="T527" s="67"/>
    </row>
    <row r="528" ht="15.75" customHeight="1"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R528" s="67"/>
      <c r="S528" s="67"/>
      <c r="T528" s="67"/>
    </row>
    <row r="529" ht="15.75" customHeight="1"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R529" s="67"/>
      <c r="S529" s="67"/>
      <c r="T529" s="67"/>
    </row>
    <row r="530" ht="15.75" customHeight="1"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R530" s="67"/>
      <c r="S530" s="67"/>
      <c r="T530" s="67"/>
    </row>
    <row r="531" ht="15.75" customHeight="1"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R531" s="67"/>
      <c r="S531" s="67"/>
      <c r="T531" s="67"/>
    </row>
    <row r="532" ht="15.75" customHeight="1"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R532" s="67"/>
      <c r="S532" s="67"/>
      <c r="T532" s="67"/>
    </row>
    <row r="533" ht="15.75" customHeight="1"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R533" s="67"/>
      <c r="S533" s="67"/>
      <c r="T533" s="67"/>
    </row>
    <row r="534" ht="15.75" customHeight="1"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R534" s="67"/>
      <c r="S534" s="67"/>
      <c r="T534" s="67"/>
    </row>
    <row r="535" ht="15.75" customHeight="1"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R535" s="67"/>
      <c r="S535" s="67"/>
      <c r="T535" s="67"/>
    </row>
    <row r="536" ht="15.75" customHeight="1"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R536" s="67"/>
      <c r="S536" s="67"/>
      <c r="T536" s="67"/>
    </row>
    <row r="537" ht="15.75" customHeight="1"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R537" s="67"/>
      <c r="S537" s="67"/>
      <c r="T537" s="67"/>
    </row>
    <row r="538" ht="15.75" customHeight="1"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R538" s="67"/>
      <c r="S538" s="67"/>
      <c r="T538" s="67"/>
    </row>
    <row r="539" ht="15.75" customHeight="1"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R539" s="67"/>
      <c r="S539" s="67"/>
      <c r="T539" s="67"/>
    </row>
    <row r="540" ht="15.75" customHeight="1"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R540" s="67"/>
      <c r="S540" s="67"/>
      <c r="T540" s="67"/>
    </row>
    <row r="541" ht="15.75" customHeight="1"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R541" s="67"/>
      <c r="S541" s="67"/>
      <c r="T541" s="67"/>
    </row>
    <row r="542" ht="15.75" customHeight="1"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R542" s="67"/>
      <c r="S542" s="67"/>
      <c r="T542" s="67"/>
    </row>
    <row r="543" ht="15.75" customHeight="1"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R543" s="67"/>
      <c r="S543" s="67"/>
      <c r="T543" s="67"/>
    </row>
    <row r="544" ht="15.75" customHeight="1"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R544" s="67"/>
      <c r="S544" s="67"/>
      <c r="T544" s="67"/>
    </row>
    <row r="545" ht="15.75" customHeight="1"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R545" s="67"/>
      <c r="S545" s="67"/>
      <c r="T545" s="67"/>
    </row>
    <row r="546" ht="15.75" customHeight="1"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R546" s="67"/>
      <c r="S546" s="67"/>
      <c r="T546" s="67"/>
    </row>
    <row r="547" ht="15.75" customHeight="1"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R547" s="67"/>
      <c r="S547" s="67"/>
      <c r="T547" s="67"/>
    </row>
    <row r="548" ht="15.75" customHeight="1"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R548" s="67"/>
      <c r="S548" s="67"/>
      <c r="T548" s="67"/>
    </row>
    <row r="549" ht="15.75" customHeight="1"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R549" s="67"/>
      <c r="S549" s="67"/>
      <c r="T549" s="67"/>
    </row>
    <row r="550" ht="15.75" customHeight="1"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R550" s="67"/>
      <c r="S550" s="67"/>
      <c r="T550" s="67"/>
    </row>
    <row r="551" ht="15.75" customHeight="1"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R551" s="67"/>
      <c r="S551" s="67"/>
      <c r="T551" s="67"/>
    </row>
    <row r="552" ht="15.75" customHeight="1"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R552" s="67"/>
      <c r="S552" s="67"/>
      <c r="T552" s="67"/>
    </row>
    <row r="553" ht="15.75" customHeight="1"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R553" s="67"/>
      <c r="S553" s="67"/>
      <c r="T553" s="67"/>
    </row>
    <row r="554" ht="15.75" customHeight="1"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R554" s="67"/>
      <c r="S554" s="67"/>
      <c r="T554" s="67"/>
    </row>
    <row r="555" ht="15.75" customHeight="1"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R555" s="67"/>
      <c r="S555" s="67"/>
      <c r="T555" s="67"/>
    </row>
    <row r="556" ht="15.75" customHeight="1"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R556" s="67"/>
      <c r="S556" s="67"/>
      <c r="T556" s="67"/>
    </row>
    <row r="557" ht="15.75" customHeight="1"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R557" s="67"/>
      <c r="S557" s="67"/>
      <c r="T557" s="67"/>
    </row>
    <row r="558" ht="15.75" customHeight="1"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R558" s="67"/>
      <c r="S558" s="67"/>
      <c r="T558" s="67"/>
    </row>
    <row r="559" ht="15.75" customHeight="1"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R559" s="67"/>
      <c r="S559" s="67"/>
      <c r="T559" s="67"/>
    </row>
    <row r="560" ht="15.75" customHeight="1"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R560" s="67"/>
      <c r="S560" s="67"/>
      <c r="T560" s="67"/>
    </row>
    <row r="561" ht="15.75" customHeight="1"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R561" s="67"/>
      <c r="S561" s="67"/>
      <c r="T561" s="67"/>
    </row>
    <row r="562" ht="15.75" customHeight="1"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R562" s="67"/>
      <c r="S562" s="67"/>
      <c r="T562" s="67"/>
    </row>
    <row r="563" ht="15.75" customHeight="1"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R563" s="67"/>
      <c r="S563" s="67"/>
      <c r="T563" s="67"/>
    </row>
    <row r="564" ht="15.75" customHeight="1"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R564" s="67"/>
      <c r="S564" s="67"/>
      <c r="T564" s="67"/>
    </row>
    <row r="565" ht="15.75" customHeight="1"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R565" s="67"/>
      <c r="S565" s="67"/>
      <c r="T565" s="67"/>
    </row>
    <row r="566" ht="15.75" customHeight="1"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R566" s="67"/>
      <c r="S566" s="67"/>
      <c r="T566" s="67"/>
    </row>
    <row r="567" ht="15.75" customHeight="1"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R567" s="67"/>
      <c r="S567" s="67"/>
      <c r="T567" s="67"/>
    </row>
    <row r="568" ht="15.75" customHeight="1"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R568" s="67"/>
      <c r="S568" s="67"/>
      <c r="T568" s="67"/>
    </row>
    <row r="569" ht="15.75" customHeight="1"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R569" s="67"/>
      <c r="S569" s="67"/>
      <c r="T569" s="67"/>
    </row>
    <row r="570" ht="15.75" customHeight="1"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R570" s="67"/>
      <c r="S570" s="67"/>
      <c r="T570" s="67"/>
    </row>
    <row r="571" ht="15.75" customHeight="1"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R571" s="67"/>
      <c r="S571" s="67"/>
      <c r="T571" s="67"/>
    </row>
    <row r="572" ht="15.75" customHeight="1"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R572" s="67"/>
      <c r="S572" s="67"/>
      <c r="T572" s="67"/>
    </row>
    <row r="573" ht="15.75" customHeight="1"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R573" s="67"/>
      <c r="S573" s="67"/>
      <c r="T573" s="67"/>
    </row>
    <row r="574" ht="15.75" customHeight="1"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R574" s="67"/>
      <c r="S574" s="67"/>
      <c r="T574" s="67"/>
    </row>
    <row r="575" ht="15.75" customHeight="1"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R575" s="67"/>
      <c r="S575" s="67"/>
      <c r="T575" s="67"/>
    </row>
    <row r="576" ht="15.75" customHeight="1"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R576" s="67"/>
      <c r="S576" s="67"/>
      <c r="T576" s="67"/>
    </row>
    <row r="577" ht="15.75" customHeight="1"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R577" s="67"/>
      <c r="S577" s="67"/>
      <c r="T577" s="67"/>
    </row>
    <row r="578" ht="15.75" customHeight="1"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R578" s="67"/>
      <c r="S578" s="67"/>
      <c r="T578" s="67"/>
    </row>
    <row r="579" ht="15.75" customHeight="1"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R579" s="67"/>
      <c r="S579" s="67"/>
      <c r="T579" s="67"/>
    </row>
    <row r="580" ht="15.75" customHeight="1"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R580" s="67"/>
      <c r="S580" s="67"/>
      <c r="T580" s="67"/>
    </row>
    <row r="581" ht="15.75" customHeight="1"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R581" s="67"/>
      <c r="S581" s="67"/>
      <c r="T581" s="67"/>
    </row>
    <row r="582" ht="15.75" customHeight="1"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R582" s="67"/>
      <c r="S582" s="67"/>
      <c r="T582" s="67"/>
    </row>
    <row r="583" ht="15.75" customHeight="1"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R583" s="67"/>
      <c r="S583" s="67"/>
      <c r="T583" s="67"/>
    </row>
    <row r="584" ht="15.75" customHeight="1"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R584" s="67"/>
      <c r="S584" s="67"/>
      <c r="T584" s="67"/>
    </row>
    <row r="585" ht="15.75" customHeight="1"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R585" s="67"/>
      <c r="S585" s="67"/>
      <c r="T585" s="67"/>
    </row>
    <row r="586" ht="15.75" customHeight="1"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R586" s="67"/>
      <c r="S586" s="67"/>
      <c r="T586" s="67"/>
    </row>
    <row r="587" ht="15.75" customHeight="1"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R587" s="67"/>
      <c r="S587" s="67"/>
      <c r="T587" s="67"/>
    </row>
    <row r="588" ht="15.75" customHeight="1"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R588" s="67"/>
      <c r="S588" s="67"/>
      <c r="T588" s="67"/>
    </row>
    <row r="589" ht="15.75" customHeight="1"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R589" s="67"/>
      <c r="S589" s="67"/>
      <c r="T589" s="67"/>
    </row>
    <row r="590" ht="15.75" customHeight="1"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R590" s="67"/>
      <c r="S590" s="67"/>
      <c r="T590" s="67"/>
    </row>
    <row r="591" ht="15.75" customHeight="1"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R591" s="67"/>
      <c r="S591" s="67"/>
      <c r="T591" s="67"/>
    </row>
    <row r="592" ht="15.75" customHeight="1"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R592" s="67"/>
      <c r="S592" s="67"/>
      <c r="T592" s="67"/>
    </row>
    <row r="593" ht="15.75" customHeight="1"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R593" s="67"/>
      <c r="S593" s="67"/>
      <c r="T593" s="67"/>
    </row>
    <row r="594" ht="15.75" customHeight="1"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R594" s="67"/>
      <c r="S594" s="67"/>
      <c r="T594" s="67"/>
    </row>
    <row r="595" ht="15.75" customHeight="1"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R595" s="67"/>
      <c r="S595" s="67"/>
      <c r="T595" s="67"/>
    </row>
    <row r="596" ht="15.75" customHeight="1"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R596" s="67"/>
      <c r="S596" s="67"/>
      <c r="T596" s="67"/>
    </row>
    <row r="597" ht="15.75" customHeight="1"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R597" s="67"/>
      <c r="S597" s="67"/>
      <c r="T597" s="67"/>
    </row>
    <row r="598" ht="15.75" customHeight="1"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R598" s="67"/>
      <c r="S598" s="67"/>
      <c r="T598" s="67"/>
    </row>
    <row r="599" ht="15.75" customHeight="1"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R599" s="67"/>
      <c r="S599" s="67"/>
      <c r="T599" s="67"/>
    </row>
    <row r="600" ht="15.75" customHeight="1"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R600" s="67"/>
      <c r="S600" s="67"/>
      <c r="T600" s="67"/>
    </row>
    <row r="601" ht="15.75" customHeight="1"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R601" s="67"/>
      <c r="S601" s="67"/>
      <c r="T601" s="67"/>
    </row>
    <row r="602" ht="15.75" customHeight="1"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R602" s="67"/>
      <c r="S602" s="67"/>
      <c r="T602" s="67"/>
    </row>
    <row r="603" ht="15.75" customHeight="1"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R603" s="67"/>
      <c r="S603" s="67"/>
      <c r="T603" s="67"/>
    </row>
    <row r="604" ht="15.75" customHeight="1"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R604" s="67"/>
      <c r="S604" s="67"/>
      <c r="T604" s="67"/>
    </row>
    <row r="605" ht="15.75" customHeight="1"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R605" s="67"/>
      <c r="S605" s="67"/>
      <c r="T605" s="67"/>
    </row>
    <row r="606" ht="15.75" customHeight="1"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R606" s="67"/>
      <c r="S606" s="67"/>
      <c r="T606" s="67"/>
    </row>
    <row r="607" ht="15.75" customHeight="1"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R607" s="67"/>
      <c r="S607" s="67"/>
      <c r="T607" s="67"/>
    </row>
    <row r="608" ht="15.75" customHeight="1"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R608" s="67"/>
      <c r="S608" s="67"/>
      <c r="T608" s="67"/>
    </row>
    <row r="609" ht="15.75" customHeight="1"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R609" s="67"/>
      <c r="S609" s="67"/>
      <c r="T609" s="67"/>
    </row>
    <row r="610" ht="15.75" customHeight="1"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R610" s="67"/>
      <c r="S610" s="67"/>
      <c r="T610" s="67"/>
    </row>
    <row r="611" ht="15.75" customHeight="1"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R611" s="67"/>
      <c r="S611" s="67"/>
      <c r="T611" s="67"/>
    </row>
    <row r="612" ht="15.75" customHeight="1"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R612" s="67"/>
      <c r="S612" s="67"/>
      <c r="T612" s="67"/>
    </row>
    <row r="613" ht="15.75" customHeight="1"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R613" s="67"/>
      <c r="S613" s="67"/>
      <c r="T613" s="67"/>
    </row>
    <row r="614" ht="15.75" customHeight="1"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R614" s="67"/>
      <c r="S614" s="67"/>
      <c r="T614" s="67"/>
    </row>
    <row r="615" ht="15.75" customHeight="1"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R615" s="67"/>
      <c r="S615" s="67"/>
      <c r="T615" s="67"/>
    </row>
    <row r="616" ht="15.75" customHeight="1"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R616" s="67"/>
      <c r="S616" s="67"/>
      <c r="T616" s="67"/>
    </row>
    <row r="617" ht="15.75" customHeight="1"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R617" s="67"/>
      <c r="S617" s="67"/>
      <c r="T617" s="67"/>
    </row>
    <row r="618" ht="15.75" customHeight="1"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R618" s="67"/>
      <c r="S618" s="67"/>
      <c r="T618" s="67"/>
    </row>
    <row r="619" ht="15.75" customHeight="1"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R619" s="67"/>
      <c r="S619" s="67"/>
      <c r="T619" s="67"/>
    </row>
    <row r="620" ht="15.75" customHeight="1"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R620" s="67"/>
      <c r="S620" s="67"/>
      <c r="T620" s="67"/>
    </row>
    <row r="621" ht="15.75" customHeight="1"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R621" s="67"/>
      <c r="S621" s="67"/>
      <c r="T621" s="67"/>
    </row>
    <row r="622" ht="15.75" customHeight="1"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R622" s="67"/>
      <c r="S622" s="67"/>
      <c r="T622" s="67"/>
    </row>
    <row r="623" ht="15.75" customHeight="1"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R623" s="67"/>
      <c r="S623" s="67"/>
      <c r="T623" s="67"/>
    </row>
    <row r="624" ht="15.75" customHeight="1"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R624" s="67"/>
      <c r="S624" s="67"/>
      <c r="T624" s="67"/>
    </row>
    <row r="625" ht="15.75" customHeight="1"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R625" s="67"/>
      <c r="S625" s="67"/>
      <c r="T625" s="67"/>
    </row>
    <row r="626" ht="15.75" customHeight="1"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R626" s="67"/>
      <c r="S626" s="67"/>
      <c r="T626" s="67"/>
    </row>
    <row r="627" ht="15.75" customHeight="1"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R627" s="67"/>
      <c r="S627" s="67"/>
      <c r="T627" s="67"/>
    </row>
    <row r="628" ht="15.75" customHeight="1"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R628" s="67"/>
      <c r="S628" s="67"/>
      <c r="T628" s="67"/>
    </row>
    <row r="629" ht="15.75" customHeight="1"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R629" s="67"/>
      <c r="S629" s="67"/>
      <c r="T629" s="67"/>
    </row>
    <row r="630" ht="15.75" customHeight="1"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R630" s="67"/>
      <c r="S630" s="67"/>
      <c r="T630" s="67"/>
    </row>
    <row r="631" ht="15.75" customHeight="1"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R631" s="67"/>
      <c r="S631" s="67"/>
      <c r="T631" s="67"/>
    </row>
    <row r="632" ht="15.75" customHeight="1"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R632" s="67"/>
      <c r="S632" s="67"/>
      <c r="T632" s="67"/>
    </row>
    <row r="633" ht="15.75" customHeight="1"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R633" s="67"/>
      <c r="S633" s="67"/>
      <c r="T633" s="67"/>
    </row>
    <row r="634" ht="15.75" customHeight="1"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R634" s="67"/>
      <c r="S634" s="67"/>
      <c r="T634" s="67"/>
    </row>
    <row r="635" ht="15.75" customHeight="1"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R635" s="67"/>
      <c r="S635" s="67"/>
      <c r="T635" s="67"/>
    </row>
    <row r="636" ht="15.75" customHeight="1"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R636" s="67"/>
      <c r="S636" s="67"/>
      <c r="T636" s="67"/>
    </row>
    <row r="637" ht="15.75" customHeight="1"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R637" s="67"/>
      <c r="S637" s="67"/>
      <c r="T637" s="67"/>
    </row>
    <row r="638" ht="15.75" customHeight="1"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R638" s="67"/>
      <c r="S638" s="67"/>
      <c r="T638" s="67"/>
    </row>
    <row r="639" ht="15.75" customHeight="1"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R639" s="67"/>
      <c r="S639" s="67"/>
      <c r="T639" s="67"/>
    </row>
    <row r="640" ht="15.75" customHeight="1"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R640" s="67"/>
      <c r="S640" s="67"/>
      <c r="T640" s="67"/>
    </row>
    <row r="641" ht="15.75" customHeight="1"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R641" s="67"/>
      <c r="S641" s="67"/>
      <c r="T641" s="67"/>
    </row>
    <row r="642" ht="15.75" customHeight="1"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R642" s="67"/>
      <c r="S642" s="67"/>
      <c r="T642" s="67"/>
    </row>
    <row r="643" ht="15.75" customHeight="1"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R643" s="67"/>
      <c r="S643" s="67"/>
      <c r="T643" s="67"/>
    </row>
    <row r="644" ht="15.75" customHeight="1"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R644" s="67"/>
      <c r="S644" s="67"/>
      <c r="T644" s="67"/>
    </row>
    <row r="645" ht="15.75" customHeight="1"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R645" s="67"/>
      <c r="S645" s="67"/>
      <c r="T645" s="67"/>
    </row>
    <row r="646" ht="15.75" customHeight="1"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R646" s="67"/>
      <c r="S646" s="67"/>
      <c r="T646" s="67"/>
    </row>
    <row r="647" ht="15.75" customHeight="1"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R647" s="67"/>
      <c r="S647" s="67"/>
      <c r="T647" s="67"/>
    </row>
    <row r="648" ht="15.75" customHeight="1"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R648" s="67"/>
      <c r="S648" s="67"/>
      <c r="T648" s="67"/>
    </row>
    <row r="649" ht="15.75" customHeight="1"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R649" s="67"/>
      <c r="S649" s="67"/>
      <c r="T649" s="67"/>
    </row>
    <row r="650" ht="15.75" customHeight="1"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R650" s="67"/>
      <c r="S650" s="67"/>
      <c r="T650" s="67"/>
    </row>
    <row r="651" ht="15.75" customHeight="1"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R651" s="67"/>
      <c r="S651" s="67"/>
      <c r="T651" s="67"/>
    </row>
    <row r="652" ht="15.75" customHeight="1"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R652" s="67"/>
      <c r="S652" s="67"/>
      <c r="T652" s="67"/>
    </row>
    <row r="653" ht="15.75" customHeight="1"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R653" s="67"/>
      <c r="S653" s="67"/>
      <c r="T653" s="67"/>
    </row>
    <row r="654" ht="15.75" customHeight="1"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R654" s="67"/>
      <c r="S654" s="67"/>
      <c r="T654" s="67"/>
    </row>
    <row r="655" ht="15.75" customHeight="1"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R655" s="67"/>
      <c r="S655" s="67"/>
      <c r="T655" s="67"/>
    </row>
    <row r="656" ht="15.75" customHeight="1"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R656" s="67"/>
      <c r="S656" s="67"/>
      <c r="T656" s="67"/>
    </row>
    <row r="657" ht="15.75" customHeight="1"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R657" s="67"/>
      <c r="S657" s="67"/>
      <c r="T657" s="67"/>
    </row>
    <row r="658" ht="15.75" customHeight="1"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R658" s="67"/>
      <c r="S658" s="67"/>
      <c r="T658" s="67"/>
    </row>
    <row r="659" ht="15.75" customHeight="1"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R659" s="67"/>
      <c r="S659" s="67"/>
      <c r="T659" s="67"/>
    </row>
    <row r="660" ht="15.75" customHeight="1"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R660" s="67"/>
      <c r="S660" s="67"/>
      <c r="T660" s="67"/>
    </row>
    <row r="661" ht="15.75" customHeight="1"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R661" s="67"/>
      <c r="S661" s="67"/>
      <c r="T661" s="67"/>
    </row>
    <row r="662" ht="15.75" customHeight="1"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R662" s="67"/>
      <c r="S662" s="67"/>
      <c r="T662" s="67"/>
    </row>
    <row r="663" ht="15.75" customHeight="1"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R663" s="67"/>
      <c r="S663" s="67"/>
      <c r="T663" s="67"/>
    </row>
    <row r="664" ht="15.75" customHeight="1"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R664" s="67"/>
      <c r="S664" s="67"/>
      <c r="T664" s="67"/>
    </row>
    <row r="665" ht="15.75" customHeight="1"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R665" s="67"/>
      <c r="S665" s="67"/>
      <c r="T665" s="67"/>
    </row>
    <row r="666" ht="15.75" customHeight="1"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R666" s="67"/>
      <c r="S666" s="67"/>
      <c r="T666" s="67"/>
    </row>
    <row r="667" ht="15.75" customHeight="1"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R667" s="67"/>
      <c r="S667" s="67"/>
      <c r="T667" s="67"/>
    </row>
    <row r="668" ht="15.75" customHeight="1"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R668" s="67"/>
      <c r="S668" s="67"/>
      <c r="T668" s="67"/>
    </row>
    <row r="669" ht="15.75" customHeight="1"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R669" s="67"/>
      <c r="S669" s="67"/>
      <c r="T669" s="67"/>
    </row>
    <row r="670" ht="15.75" customHeight="1"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R670" s="67"/>
      <c r="S670" s="67"/>
      <c r="T670" s="67"/>
    </row>
    <row r="671" ht="15.75" customHeight="1"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R671" s="67"/>
      <c r="S671" s="67"/>
      <c r="T671" s="67"/>
    </row>
    <row r="672" ht="15.75" customHeight="1"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R672" s="67"/>
      <c r="S672" s="67"/>
      <c r="T672" s="67"/>
    </row>
    <row r="673" ht="15.75" customHeight="1"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R673" s="67"/>
      <c r="S673" s="67"/>
      <c r="T673" s="67"/>
    </row>
    <row r="674" ht="15.75" customHeight="1"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R674" s="67"/>
      <c r="S674" s="67"/>
      <c r="T674" s="67"/>
    </row>
    <row r="675" ht="15.75" customHeight="1"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R675" s="67"/>
      <c r="S675" s="67"/>
      <c r="T675" s="67"/>
    </row>
    <row r="676" ht="15.75" customHeight="1"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R676" s="67"/>
      <c r="S676" s="67"/>
      <c r="T676" s="67"/>
    </row>
    <row r="677" ht="15.75" customHeight="1"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R677" s="67"/>
      <c r="S677" s="67"/>
      <c r="T677" s="67"/>
    </row>
    <row r="678" ht="15.75" customHeight="1"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R678" s="67"/>
      <c r="S678" s="67"/>
      <c r="T678" s="67"/>
    </row>
    <row r="679" ht="15.75" customHeight="1"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R679" s="67"/>
      <c r="S679" s="67"/>
      <c r="T679" s="67"/>
    </row>
    <row r="680" ht="15.75" customHeight="1"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R680" s="67"/>
      <c r="S680" s="67"/>
      <c r="T680" s="67"/>
    </row>
    <row r="681" ht="15.75" customHeight="1"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R681" s="67"/>
      <c r="S681" s="67"/>
      <c r="T681" s="67"/>
    </row>
    <row r="682" ht="15.75" customHeight="1"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R682" s="67"/>
      <c r="S682" s="67"/>
      <c r="T682" s="67"/>
    </row>
    <row r="683" ht="15.75" customHeight="1"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R683" s="67"/>
      <c r="S683" s="67"/>
      <c r="T683" s="67"/>
    </row>
    <row r="684" ht="15.75" customHeight="1"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R684" s="67"/>
      <c r="S684" s="67"/>
      <c r="T684" s="67"/>
    </row>
    <row r="685" ht="15.75" customHeight="1"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R685" s="67"/>
      <c r="S685" s="67"/>
      <c r="T685" s="67"/>
    </row>
    <row r="686" ht="15.75" customHeight="1"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R686" s="67"/>
      <c r="S686" s="67"/>
      <c r="T686" s="67"/>
    </row>
    <row r="687" ht="15.75" customHeight="1"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R687" s="67"/>
      <c r="S687" s="67"/>
      <c r="T687" s="67"/>
    </row>
    <row r="688" ht="15.75" customHeight="1"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R688" s="67"/>
      <c r="S688" s="67"/>
      <c r="T688" s="67"/>
    </row>
    <row r="689" ht="15.75" customHeight="1"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R689" s="67"/>
      <c r="S689" s="67"/>
      <c r="T689" s="67"/>
    </row>
    <row r="690" ht="15.75" customHeight="1"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R690" s="67"/>
      <c r="S690" s="67"/>
      <c r="T690" s="67"/>
    </row>
    <row r="691" ht="15.75" customHeight="1"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R691" s="67"/>
      <c r="S691" s="67"/>
      <c r="T691" s="67"/>
    </row>
    <row r="692" ht="15.75" customHeight="1"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R692" s="67"/>
      <c r="S692" s="67"/>
      <c r="T692" s="67"/>
    </row>
    <row r="693" ht="15.75" customHeight="1"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R693" s="67"/>
      <c r="S693" s="67"/>
      <c r="T693" s="67"/>
    </row>
    <row r="694" ht="15.75" customHeight="1"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R694" s="67"/>
      <c r="S694" s="67"/>
      <c r="T694" s="67"/>
    </row>
    <row r="695" ht="15.75" customHeight="1"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R695" s="67"/>
      <c r="S695" s="67"/>
      <c r="T695" s="67"/>
    </row>
    <row r="696" ht="15.75" customHeight="1"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R696" s="67"/>
      <c r="S696" s="67"/>
      <c r="T696" s="67"/>
    </row>
    <row r="697" ht="15.75" customHeight="1"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R697" s="67"/>
      <c r="S697" s="67"/>
      <c r="T697" s="67"/>
    </row>
    <row r="698" ht="15.75" customHeight="1"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R698" s="67"/>
      <c r="S698" s="67"/>
      <c r="T698" s="67"/>
    </row>
    <row r="699" ht="15.75" customHeight="1"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R699" s="67"/>
      <c r="S699" s="67"/>
      <c r="T699" s="67"/>
    </row>
    <row r="700" ht="15.75" customHeight="1"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R700" s="67"/>
      <c r="S700" s="67"/>
      <c r="T700" s="67"/>
    </row>
    <row r="701" ht="15.75" customHeight="1"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R701" s="67"/>
      <c r="S701" s="67"/>
      <c r="T701" s="67"/>
    </row>
    <row r="702" ht="15.75" customHeight="1"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R702" s="67"/>
      <c r="S702" s="67"/>
      <c r="T702" s="67"/>
    </row>
    <row r="703" ht="15.75" customHeight="1"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R703" s="67"/>
      <c r="S703" s="67"/>
      <c r="T703" s="67"/>
    </row>
    <row r="704" ht="15.75" customHeight="1"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R704" s="67"/>
      <c r="S704" s="67"/>
      <c r="T704" s="67"/>
    </row>
    <row r="705" ht="15.75" customHeight="1"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R705" s="67"/>
      <c r="S705" s="67"/>
      <c r="T705" s="67"/>
    </row>
    <row r="706" ht="15.75" customHeight="1"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R706" s="67"/>
      <c r="S706" s="67"/>
      <c r="T706" s="67"/>
    </row>
    <row r="707" ht="15.75" customHeight="1"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R707" s="67"/>
      <c r="S707" s="67"/>
      <c r="T707" s="67"/>
    </row>
    <row r="708" ht="15.75" customHeight="1"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R708" s="67"/>
      <c r="S708" s="67"/>
      <c r="T708" s="67"/>
    </row>
    <row r="709" ht="15.75" customHeight="1"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R709" s="67"/>
      <c r="S709" s="67"/>
      <c r="T709" s="67"/>
    </row>
    <row r="710" ht="15.75" customHeight="1"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R710" s="67"/>
      <c r="S710" s="67"/>
      <c r="T710" s="67"/>
    </row>
    <row r="711" ht="15.75" customHeight="1"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R711" s="67"/>
      <c r="S711" s="67"/>
      <c r="T711" s="67"/>
    </row>
    <row r="712" ht="15.75" customHeight="1"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R712" s="67"/>
      <c r="S712" s="67"/>
      <c r="T712" s="67"/>
    </row>
    <row r="713" ht="15.75" customHeight="1"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R713" s="67"/>
      <c r="S713" s="67"/>
      <c r="T713" s="67"/>
    </row>
    <row r="714" ht="15.75" customHeight="1"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R714" s="67"/>
      <c r="S714" s="67"/>
      <c r="T714" s="67"/>
    </row>
    <row r="715" ht="15.75" customHeight="1"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R715" s="67"/>
      <c r="S715" s="67"/>
      <c r="T715" s="67"/>
    </row>
    <row r="716" ht="15.75" customHeight="1"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R716" s="67"/>
      <c r="S716" s="67"/>
      <c r="T716" s="67"/>
    </row>
    <row r="717" ht="15.75" customHeight="1"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R717" s="67"/>
      <c r="S717" s="67"/>
      <c r="T717" s="67"/>
    </row>
    <row r="718" ht="15.75" customHeight="1"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R718" s="67"/>
      <c r="S718" s="67"/>
      <c r="T718" s="67"/>
    </row>
    <row r="719" ht="15.75" customHeight="1"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R719" s="67"/>
      <c r="S719" s="67"/>
      <c r="T719" s="67"/>
    </row>
    <row r="720" ht="15.75" customHeight="1"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R720" s="67"/>
      <c r="S720" s="67"/>
      <c r="T720" s="67"/>
    </row>
    <row r="721" ht="15.75" customHeight="1"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R721" s="67"/>
      <c r="S721" s="67"/>
      <c r="T721" s="67"/>
    </row>
    <row r="722" ht="15.75" customHeight="1"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R722" s="67"/>
      <c r="S722" s="67"/>
      <c r="T722" s="67"/>
    </row>
    <row r="723" ht="15.75" customHeight="1"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R723" s="67"/>
      <c r="S723" s="67"/>
      <c r="T723" s="67"/>
    </row>
    <row r="724" ht="15.75" customHeight="1"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R724" s="67"/>
      <c r="S724" s="67"/>
      <c r="T724" s="67"/>
    </row>
    <row r="725" ht="15.75" customHeight="1"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R725" s="67"/>
      <c r="S725" s="67"/>
      <c r="T725" s="67"/>
    </row>
    <row r="726" ht="15.75" customHeight="1"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R726" s="67"/>
      <c r="S726" s="67"/>
      <c r="T726" s="67"/>
    </row>
    <row r="727" ht="15.75" customHeight="1"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R727" s="67"/>
      <c r="S727" s="67"/>
      <c r="T727" s="67"/>
    </row>
    <row r="728" ht="15.75" customHeight="1"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R728" s="67"/>
      <c r="S728" s="67"/>
      <c r="T728" s="67"/>
    </row>
    <row r="729" ht="15.75" customHeight="1"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R729" s="67"/>
      <c r="S729" s="67"/>
      <c r="T729" s="67"/>
    </row>
    <row r="730" ht="15.75" customHeight="1"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R730" s="67"/>
      <c r="S730" s="67"/>
      <c r="T730" s="67"/>
    </row>
    <row r="731" ht="15.75" customHeight="1"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R731" s="67"/>
      <c r="S731" s="67"/>
      <c r="T731" s="67"/>
    </row>
    <row r="732" ht="15.75" customHeight="1"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R732" s="67"/>
      <c r="S732" s="67"/>
      <c r="T732" s="67"/>
    </row>
    <row r="733" ht="15.75" customHeight="1"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R733" s="67"/>
      <c r="S733" s="67"/>
      <c r="T733" s="67"/>
    </row>
    <row r="734" ht="15.75" customHeight="1"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R734" s="67"/>
      <c r="S734" s="67"/>
      <c r="T734" s="67"/>
    </row>
    <row r="735" ht="15.75" customHeight="1"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R735" s="67"/>
      <c r="S735" s="67"/>
      <c r="T735" s="67"/>
    </row>
    <row r="736" ht="15.75" customHeight="1"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R736" s="67"/>
      <c r="S736" s="67"/>
      <c r="T736" s="67"/>
    </row>
    <row r="737" ht="15.75" customHeight="1"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R737" s="67"/>
      <c r="S737" s="67"/>
      <c r="T737" s="67"/>
    </row>
    <row r="738" ht="15.75" customHeight="1"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R738" s="67"/>
      <c r="S738" s="67"/>
      <c r="T738" s="67"/>
    </row>
    <row r="739" ht="15.75" customHeight="1"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R739" s="67"/>
      <c r="S739" s="67"/>
      <c r="T739" s="67"/>
    </row>
    <row r="740" ht="15.75" customHeight="1"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R740" s="67"/>
      <c r="S740" s="67"/>
      <c r="T740" s="67"/>
    </row>
    <row r="741" ht="15.75" customHeight="1"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R741" s="67"/>
      <c r="S741" s="67"/>
      <c r="T741" s="67"/>
    </row>
    <row r="742" ht="15.75" customHeight="1"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R742" s="67"/>
      <c r="S742" s="67"/>
      <c r="T742" s="67"/>
    </row>
    <row r="743" ht="15.75" customHeight="1"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R743" s="67"/>
      <c r="S743" s="67"/>
      <c r="T743" s="67"/>
    </row>
    <row r="744" ht="15.75" customHeight="1"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R744" s="67"/>
      <c r="S744" s="67"/>
      <c r="T744" s="67"/>
    </row>
    <row r="745" ht="15.75" customHeight="1"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R745" s="67"/>
      <c r="S745" s="67"/>
      <c r="T745" s="67"/>
    </row>
    <row r="746" ht="15.75" customHeight="1"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R746" s="67"/>
      <c r="S746" s="67"/>
      <c r="T746" s="67"/>
    </row>
    <row r="747" ht="15.75" customHeight="1"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R747" s="67"/>
      <c r="S747" s="67"/>
      <c r="T747" s="67"/>
    </row>
    <row r="748" ht="15.75" customHeight="1"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R748" s="67"/>
      <c r="S748" s="67"/>
      <c r="T748" s="67"/>
    </row>
    <row r="749" ht="15.75" customHeight="1"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R749" s="67"/>
      <c r="S749" s="67"/>
      <c r="T749" s="67"/>
    </row>
    <row r="750" ht="15.75" customHeight="1"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R750" s="67"/>
      <c r="S750" s="67"/>
      <c r="T750" s="67"/>
    </row>
    <row r="751" ht="15.75" customHeight="1"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R751" s="67"/>
      <c r="S751" s="67"/>
      <c r="T751" s="67"/>
    </row>
    <row r="752" ht="15.75" customHeight="1"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R752" s="67"/>
      <c r="S752" s="67"/>
      <c r="T752" s="67"/>
    </row>
    <row r="753" ht="15.75" customHeight="1"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R753" s="67"/>
      <c r="S753" s="67"/>
      <c r="T753" s="67"/>
    </row>
    <row r="754" ht="15.75" customHeight="1"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R754" s="67"/>
      <c r="S754" s="67"/>
      <c r="T754" s="67"/>
    </row>
    <row r="755" ht="15.75" customHeight="1"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R755" s="67"/>
      <c r="S755" s="67"/>
      <c r="T755" s="67"/>
    </row>
    <row r="756" ht="15.75" customHeight="1"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R756" s="67"/>
      <c r="S756" s="67"/>
      <c r="T756" s="67"/>
    </row>
    <row r="757" ht="15.75" customHeight="1"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R757" s="67"/>
      <c r="S757" s="67"/>
      <c r="T757" s="67"/>
    </row>
    <row r="758" ht="15.75" customHeight="1"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R758" s="67"/>
      <c r="S758" s="67"/>
      <c r="T758" s="67"/>
    </row>
    <row r="759" ht="15.75" customHeight="1"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R759" s="67"/>
      <c r="S759" s="67"/>
      <c r="T759" s="67"/>
    </row>
    <row r="760" ht="15.75" customHeight="1"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R760" s="67"/>
      <c r="S760" s="67"/>
      <c r="T760" s="67"/>
    </row>
    <row r="761" ht="15.75" customHeight="1"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R761" s="67"/>
      <c r="S761" s="67"/>
      <c r="T761" s="67"/>
    </row>
    <row r="762" ht="15.75" customHeight="1"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R762" s="67"/>
      <c r="S762" s="67"/>
      <c r="T762" s="67"/>
    </row>
    <row r="763" ht="15.75" customHeight="1"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R763" s="67"/>
      <c r="S763" s="67"/>
      <c r="T763" s="67"/>
    </row>
    <row r="764" ht="15.75" customHeight="1"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R764" s="67"/>
      <c r="S764" s="67"/>
      <c r="T764" s="67"/>
    </row>
    <row r="765" ht="15.75" customHeight="1"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R765" s="67"/>
      <c r="S765" s="67"/>
      <c r="T765" s="67"/>
    </row>
    <row r="766" ht="15.75" customHeight="1"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R766" s="67"/>
      <c r="S766" s="67"/>
      <c r="T766" s="67"/>
    </row>
    <row r="767" ht="15.75" customHeight="1"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R767" s="67"/>
      <c r="S767" s="67"/>
      <c r="T767" s="67"/>
    </row>
    <row r="768" ht="15.75" customHeight="1"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R768" s="67"/>
      <c r="S768" s="67"/>
      <c r="T768" s="67"/>
    </row>
    <row r="769" ht="15.75" customHeight="1"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R769" s="67"/>
      <c r="S769" s="67"/>
      <c r="T769" s="67"/>
    </row>
    <row r="770" ht="15.75" customHeight="1"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R770" s="67"/>
      <c r="S770" s="67"/>
      <c r="T770" s="67"/>
    </row>
    <row r="771" ht="15.75" customHeight="1"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R771" s="67"/>
      <c r="S771" s="67"/>
      <c r="T771" s="67"/>
    </row>
    <row r="772" ht="15.75" customHeight="1"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R772" s="67"/>
      <c r="S772" s="67"/>
      <c r="T772" s="67"/>
    </row>
    <row r="773" ht="15.75" customHeight="1"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R773" s="67"/>
      <c r="S773" s="67"/>
      <c r="T773" s="67"/>
    </row>
    <row r="774" ht="15.75" customHeight="1"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R774" s="67"/>
      <c r="S774" s="67"/>
      <c r="T774" s="67"/>
    </row>
    <row r="775" ht="15.75" customHeight="1"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R775" s="67"/>
      <c r="S775" s="67"/>
      <c r="T775" s="67"/>
    </row>
    <row r="776" ht="15.75" customHeight="1"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R776" s="67"/>
      <c r="S776" s="67"/>
      <c r="T776" s="67"/>
    </row>
    <row r="777" ht="15.75" customHeight="1"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R777" s="67"/>
      <c r="S777" s="67"/>
      <c r="T777" s="67"/>
    </row>
    <row r="778" ht="15.75" customHeight="1"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R778" s="67"/>
      <c r="S778" s="67"/>
      <c r="T778" s="67"/>
    </row>
    <row r="779" ht="15.75" customHeight="1"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R779" s="67"/>
      <c r="S779" s="67"/>
      <c r="T779" s="67"/>
    </row>
    <row r="780" ht="15.75" customHeight="1"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R780" s="67"/>
      <c r="S780" s="67"/>
      <c r="T780" s="67"/>
    </row>
    <row r="781" ht="15.75" customHeight="1"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R781" s="67"/>
      <c r="S781" s="67"/>
      <c r="T781" s="67"/>
    </row>
    <row r="782" ht="15.75" customHeight="1"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R782" s="67"/>
      <c r="S782" s="67"/>
      <c r="T782" s="67"/>
    </row>
    <row r="783" ht="15.75" customHeight="1"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R783" s="67"/>
      <c r="S783" s="67"/>
      <c r="T783" s="67"/>
    </row>
    <row r="784" ht="15.75" customHeight="1"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R784" s="67"/>
      <c r="S784" s="67"/>
      <c r="T784" s="67"/>
    </row>
    <row r="785" ht="15.75" customHeight="1"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R785" s="67"/>
      <c r="S785" s="67"/>
      <c r="T785" s="67"/>
    </row>
    <row r="786" ht="15.75" customHeight="1"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R786" s="67"/>
      <c r="S786" s="67"/>
      <c r="T786" s="67"/>
    </row>
    <row r="787" ht="15.75" customHeight="1"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R787" s="67"/>
      <c r="S787" s="67"/>
      <c r="T787" s="67"/>
    </row>
    <row r="788" ht="15.75" customHeight="1"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R788" s="67"/>
      <c r="S788" s="67"/>
      <c r="T788" s="67"/>
    </row>
    <row r="789" ht="15.75" customHeight="1"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R789" s="67"/>
      <c r="S789" s="67"/>
      <c r="T789" s="67"/>
    </row>
    <row r="790" ht="15.75" customHeight="1"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R790" s="67"/>
      <c r="S790" s="67"/>
      <c r="T790" s="67"/>
    </row>
    <row r="791" ht="15.75" customHeight="1"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R791" s="67"/>
      <c r="S791" s="67"/>
      <c r="T791" s="67"/>
    </row>
    <row r="792" ht="15.75" customHeight="1"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R792" s="67"/>
      <c r="S792" s="67"/>
      <c r="T792" s="67"/>
    </row>
    <row r="793" ht="15.75" customHeight="1"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R793" s="67"/>
      <c r="S793" s="67"/>
      <c r="T793" s="67"/>
    </row>
    <row r="794" ht="15.75" customHeight="1"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R794" s="67"/>
      <c r="S794" s="67"/>
      <c r="T794" s="67"/>
    </row>
    <row r="795" ht="15.75" customHeight="1"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R795" s="67"/>
      <c r="S795" s="67"/>
      <c r="T795" s="67"/>
    </row>
    <row r="796" ht="15.75" customHeight="1"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R796" s="67"/>
      <c r="S796" s="67"/>
      <c r="T796" s="67"/>
    </row>
    <row r="797" ht="15.75" customHeight="1"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R797" s="67"/>
      <c r="S797" s="67"/>
      <c r="T797" s="67"/>
    </row>
    <row r="798" ht="15.75" customHeight="1"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R798" s="67"/>
      <c r="S798" s="67"/>
      <c r="T798" s="67"/>
    </row>
    <row r="799" ht="15.75" customHeight="1"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R799" s="67"/>
      <c r="S799" s="67"/>
      <c r="T799" s="67"/>
    </row>
    <row r="800" ht="15.75" customHeight="1"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R800" s="67"/>
      <c r="S800" s="67"/>
      <c r="T800" s="67"/>
    </row>
    <row r="801" ht="15.75" customHeight="1"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R801" s="67"/>
      <c r="S801" s="67"/>
      <c r="T801" s="67"/>
    </row>
    <row r="802" ht="15.75" customHeight="1"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R802" s="67"/>
      <c r="S802" s="67"/>
      <c r="T802" s="67"/>
    </row>
    <row r="803" ht="15.75" customHeight="1"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R803" s="67"/>
      <c r="S803" s="67"/>
      <c r="T803" s="67"/>
    </row>
    <row r="804" ht="15.75" customHeight="1"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R804" s="67"/>
      <c r="S804" s="67"/>
      <c r="T804" s="67"/>
    </row>
    <row r="805" ht="15.75" customHeight="1"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R805" s="67"/>
      <c r="S805" s="67"/>
      <c r="T805" s="67"/>
    </row>
    <row r="806" ht="15.75" customHeight="1"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R806" s="67"/>
      <c r="S806" s="67"/>
      <c r="T806" s="67"/>
    </row>
    <row r="807" ht="15.75" customHeight="1"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R807" s="67"/>
      <c r="S807" s="67"/>
      <c r="T807" s="67"/>
    </row>
    <row r="808" ht="15.75" customHeight="1"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R808" s="67"/>
      <c r="S808" s="67"/>
      <c r="T808" s="67"/>
    </row>
    <row r="809" ht="15.75" customHeight="1"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R809" s="67"/>
      <c r="S809" s="67"/>
      <c r="T809" s="67"/>
    </row>
    <row r="810" ht="15.75" customHeight="1"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R810" s="67"/>
      <c r="S810" s="67"/>
      <c r="T810" s="67"/>
    </row>
    <row r="811" ht="15.75" customHeight="1"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R811" s="67"/>
      <c r="S811" s="67"/>
      <c r="T811" s="67"/>
    </row>
    <row r="812" ht="15.75" customHeight="1"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R812" s="67"/>
      <c r="S812" s="67"/>
      <c r="T812" s="67"/>
    </row>
    <row r="813" ht="15.75" customHeight="1"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R813" s="67"/>
      <c r="S813" s="67"/>
      <c r="T813" s="67"/>
    </row>
    <row r="814" ht="15.75" customHeight="1"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R814" s="67"/>
      <c r="S814" s="67"/>
      <c r="T814" s="67"/>
    </row>
    <row r="815" ht="15.75" customHeight="1"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R815" s="67"/>
      <c r="S815" s="67"/>
      <c r="T815" s="67"/>
    </row>
    <row r="816" ht="15.75" customHeight="1"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R816" s="67"/>
      <c r="S816" s="67"/>
      <c r="T816" s="67"/>
    </row>
    <row r="817" ht="15.75" customHeight="1"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R817" s="67"/>
      <c r="S817" s="67"/>
      <c r="T817" s="67"/>
    </row>
    <row r="818" ht="15.75" customHeight="1"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R818" s="67"/>
      <c r="S818" s="67"/>
      <c r="T818" s="67"/>
    </row>
    <row r="819" ht="15.75" customHeight="1"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R819" s="67"/>
      <c r="S819" s="67"/>
      <c r="T819" s="67"/>
    </row>
    <row r="820" ht="15.75" customHeight="1"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R820" s="67"/>
      <c r="S820" s="67"/>
      <c r="T820" s="67"/>
    </row>
    <row r="821" ht="15.75" customHeight="1"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R821" s="67"/>
      <c r="S821" s="67"/>
      <c r="T821" s="67"/>
    </row>
    <row r="822" ht="15.75" customHeight="1"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R822" s="67"/>
      <c r="S822" s="67"/>
      <c r="T822" s="67"/>
    </row>
    <row r="823" ht="15.75" customHeight="1"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R823" s="67"/>
      <c r="S823" s="67"/>
      <c r="T823" s="67"/>
    </row>
    <row r="824" ht="15.75" customHeight="1"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R824" s="67"/>
      <c r="S824" s="67"/>
      <c r="T824" s="67"/>
    </row>
    <row r="825" ht="15.75" customHeight="1"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R825" s="67"/>
      <c r="S825" s="67"/>
      <c r="T825" s="67"/>
    </row>
    <row r="826" ht="15.75" customHeight="1"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R826" s="67"/>
      <c r="S826" s="67"/>
      <c r="T826" s="67"/>
    </row>
    <row r="827" ht="15.75" customHeight="1"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R827" s="67"/>
      <c r="S827" s="67"/>
      <c r="T827" s="67"/>
    </row>
    <row r="828" ht="15.75" customHeight="1"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R828" s="67"/>
      <c r="S828" s="67"/>
      <c r="T828" s="67"/>
    </row>
    <row r="829" ht="15.75" customHeight="1"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R829" s="67"/>
      <c r="S829" s="67"/>
      <c r="T829" s="67"/>
    </row>
    <row r="830" ht="15.75" customHeight="1"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R830" s="67"/>
      <c r="S830" s="67"/>
      <c r="T830" s="67"/>
    </row>
    <row r="831" ht="15.75" customHeight="1"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R831" s="67"/>
      <c r="S831" s="67"/>
      <c r="T831" s="67"/>
    </row>
    <row r="832" ht="15.75" customHeight="1"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R832" s="67"/>
      <c r="S832" s="67"/>
      <c r="T832" s="67"/>
    </row>
    <row r="833" ht="15.75" customHeight="1"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R833" s="67"/>
      <c r="S833" s="67"/>
      <c r="T833" s="67"/>
    </row>
    <row r="834" ht="15.75" customHeight="1"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R834" s="67"/>
      <c r="S834" s="67"/>
      <c r="T834" s="67"/>
    </row>
    <row r="835" ht="15.75" customHeight="1"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R835" s="67"/>
      <c r="S835" s="67"/>
      <c r="T835" s="67"/>
    </row>
    <row r="836" ht="15.75" customHeight="1"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R836" s="67"/>
      <c r="S836" s="67"/>
      <c r="T836" s="67"/>
    </row>
    <row r="837" ht="15.75" customHeight="1"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R837" s="67"/>
      <c r="S837" s="67"/>
      <c r="T837" s="67"/>
    </row>
    <row r="838" ht="15.75" customHeight="1"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R838" s="67"/>
      <c r="S838" s="67"/>
      <c r="T838" s="67"/>
    </row>
    <row r="839" ht="15.75" customHeight="1"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R839" s="67"/>
      <c r="S839" s="67"/>
      <c r="T839" s="67"/>
    </row>
    <row r="840" ht="15.75" customHeight="1"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R840" s="67"/>
      <c r="S840" s="67"/>
      <c r="T840" s="67"/>
    </row>
    <row r="841" ht="15.75" customHeight="1"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R841" s="67"/>
      <c r="S841" s="67"/>
      <c r="T841" s="67"/>
    </row>
    <row r="842" ht="15.75" customHeight="1"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R842" s="67"/>
      <c r="S842" s="67"/>
      <c r="T842" s="67"/>
    </row>
    <row r="843" ht="15.75" customHeight="1"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R843" s="67"/>
      <c r="S843" s="67"/>
      <c r="T843" s="67"/>
    </row>
    <row r="844" ht="15.75" customHeight="1"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R844" s="67"/>
      <c r="S844" s="67"/>
      <c r="T844" s="67"/>
    </row>
    <row r="845" ht="15.75" customHeight="1"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R845" s="67"/>
      <c r="S845" s="67"/>
      <c r="T845" s="67"/>
    </row>
    <row r="846" ht="15.75" customHeight="1"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R846" s="67"/>
      <c r="S846" s="67"/>
      <c r="T846" s="67"/>
    </row>
    <row r="847" ht="15.75" customHeight="1"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R847" s="67"/>
      <c r="S847" s="67"/>
      <c r="T847" s="67"/>
    </row>
    <row r="848" ht="15.75" customHeight="1"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R848" s="67"/>
      <c r="S848" s="67"/>
      <c r="T848" s="67"/>
    </row>
    <row r="849" ht="15.75" customHeight="1"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R849" s="67"/>
      <c r="S849" s="67"/>
      <c r="T849" s="67"/>
    </row>
    <row r="850" ht="15.75" customHeight="1"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R850" s="67"/>
      <c r="S850" s="67"/>
      <c r="T850" s="67"/>
    </row>
    <row r="851" ht="15.75" customHeight="1"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R851" s="67"/>
      <c r="S851" s="67"/>
      <c r="T851" s="67"/>
    </row>
    <row r="852" ht="15.75" customHeight="1"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R852" s="67"/>
      <c r="S852" s="67"/>
      <c r="T852" s="67"/>
    </row>
    <row r="853" ht="15.75" customHeight="1"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R853" s="67"/>
      <c r="S853" s="67"/>
      <c r="T853" s="67"/>
    </row>
    <row r="854" ht="15.75" customHeight="1"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R854" s="67"/>
      <c r="S854" s="67"/>
      <c r="T854" s="67"/>
    </row>
    <row r="855" ht="15.75" customHeight="1"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R855" s="67"/>
      <c r="S855" s="67"/>
      <c r="T855" s="67"/>
    </row>
    <row r="856" ht="15.75" customHeight="1"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R856" s="67"/>
      <c r="S856" s="67"/>
      <c r="T856" s="67"/>
    </row>
    <row r="857" ht="15.75" customHeight="1"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R857" s="67"/>
      <c r="S857" s="67"/>
      <c r="T857" s="67"/>
    </row>
    <row r="858" ht="15.75" customHeight="1"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R858" s="67"/>
      <c r="S858" s="67"/>
      <c r="T858" s="67"/>
    </row>
    <row r="859" ht="15.75" customHeight="1"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R859" s="67"/>
      <c r="S859" s="67"/>
      <c r="T859" s="67"/>
    </row>
    <row r="860" ht="15.75" customHeight="1"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R860" s="67"/>
      <c r="S860" s="67"/>
      <c r="T860" s="67"/>
    </row>
    <row r="861" ht="15.75" customHeight="1"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R861" s="67"/>
      <c r="S861" s="67"/>
      <c r="T861" s="67"/>
    </row>
    <row r="862" ht="15.75" customHeight="1"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R862" s="67"/>
      <c r="S862" s="67"/>
      <c r="T862" s="67"/>
    </row>
    <row r="863" ht="15.75" customHeight="1"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R863" s="67"/>
      <c r="S863" s="67"/>
      <c r="T863" s="67"/>
    </row>
    <row r="864" ht="15.75" customHeight="1"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R864" s="67"/>
      <c r="S864" s="67"/>
      <c r="T864" s="67"/>
    </row>
    <row r="865" ht="15.75" customHeight="1"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R865" s="67"/>
      <c r="S865" s="67"/>
      <c r="T865" s="67"/>
    </row>
    <row r="866" ht="15.75" customHeight="1"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R866" s="67"/>
      <c r="S866" s="67"/>
      <c r="T866" s="67"/>
    </row>
    <row r="867" ht="15.75" customHeight="1"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R867" s="67"/>
      <c r="S867" s="67"/>
      <c r="T867" s="67"/>
    </row>
    <row r="868" ht="15.75" customHeight="1"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R868" s="67"/>
      <c r="S868" s="67"/>
      <c r="T868" s="67"/>
    </row>
    <row r="869" ht="15.75" customHeight="1"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R869" s="67"/>
      <c r="S869" s="67"/>
      <c r="T869" s="67"/>
    </row>
    <row r="870" ht="15.75" customHeight="1"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R870" s="67"/>
      <c r="S870" s="67"/>
      <c r="T870" s="67"/>
    </row>
    <row r="871" ht="15.75" customHeight="1"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R871" s="67"/>
      <c r="S871" s="67"/>
      <c r="T871" s="67"/>
    </row>
    <row r="872" ht="15.75" customHeight="1"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R872" s="67"/>
      <c r="S872" s="67"/>
      <c r="T872" s="67"/>
    </row>
    <row r="873" ht="15.75" customHeight="1"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R873" s="67"/>
      <c r="S873" s="67"/>
      <c r="T873" s="67"/>
    </row>
    <row r="874" ht="15.75" customHeight="1"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R874" s="67"/>
      <c r="S874" s="67"/>
      <c r="T874" s="67"/>
    </row>
    <row r="875" ht="15.75" customHeight="1"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R875" s="67"/>
      <c r="S875" s="67"/>
      <c r="T875" s="67"/>
    </row>
    <row r="876" ht="15.75" customHeight="1"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R876" s="67"/>
      <c r="S876" s="67"/>
      <c r="T876" s="67"/>
    </row>
    <row r="877" ht="15.75" customHeight="1"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R877" s="67"/>
      <c r="S877" s="67"/>
      <c r="T877" s="67"/>
    </row>
    <row r="878" ht="15.75" customHeight="1"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R878" s="67"/>
      <c r="S878" s="67"/>
      <c r="T878" s="67"/>
    </row>
    <row r="879" ht="15.75" customHeight="1"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R879" s="67"/>
      <c r="S879" s="67"/>
      <c r="T879" s="67"/>
    </row>
    <row r="880" ht="15.75" customHeight="1"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R880" s="67"/>
      <c r="S880" s="67"/>
      <c r="T880" s="67"/>
    </row>
    <row r="881" ht="15.75" customHeight="1"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R881" s="67"/>
      <c r="S881" s="67"/>
      <c r="T881" s="67"/>
    </row>
    <row r="882" ht="15.75" customHeight="1"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R882" s="67"/>
      <c r="S882" s="67"/>
      <c r="T882" s="67"/>
    </row>
    <row r="883" ht="15.75" customHeight="1"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R883" s="67"/>
      <c r="S883" s="67"/>
      <c r="T883" s="67"/>
    </row>
    <row r="884" ht="15.75" customHeight="1"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R884" s="67"/>
      <c r="S884" s="67"/>
      <c r="T884" s="67"/>
    </row>
    <row r="885" ht="15.75" customHeight="1"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R885" s="67"/>
      <c r="S885" s="67"/>
      <c r="T885" s="67"/>
    </row>
    <row r="886" ht="15.75" customHeight="1"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R886" s="67"/>
      <c r="S886" s="67"/>
      <c r="T886" s="67"/>
    </row>
    <row r="887" ht="15.75" customHeight="1"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R887" s="67"/>
      <c r="S887" s="67"/>
      <c r="T887" s="67"/>
    </row>
    <row r="888" ht="15.75" customHeight="1"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R888" s="67"/>
      <c r="S888" s="67"/>
      <c r="T888" s="67"/>
    </row>
    <row r="889" ht="15.75" customHeight="1"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R889" s="67"/>
      <c r="S889" s="67"/>
      <c r="T889" s="67"/>
    </row>
    <row r="890" ht="15.75" customHeight="1"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R890" s="67"/>
      <c r="S890" s="67"/>
      <c r="T890" s="67"/>
    </row>
    <row r="891" ht="15.75" customHeight="1"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R891" s="67"/>
      <c r="S891" s="67"/>
      <c r="T891" s="67"/>
    </row>
    <row r="892" ht="15.75" customHeight="1"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R892" s="67"/>
      <c r="S892" s="67"/>
      <c r="T892" s="67"/>
    </row>
    <row r="893" ht="15.75" customHeight="1"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R893" s="67"/>
      <c r="S893" s="67"/>
      <c r="T893" s="67"/>
    </row>
    <row r="894" ht="15.75" customHeight="1"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R894" s="67"/>
      <c r="S894" s="67"/>
      <c r="T894" s="67"/>
    </row>
    <row r="895" ht="15.75" customHeight="1"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R895" s="67"/>
      <c r="S895" s="67"/>
      <c r="T895" s="67"/>
    </row>
    <row r="896" ht="15.75" customHeight="1"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R896" s="67"/>
      <c r="S896" s="67"/>
      <c r="T896" s="67"/>
    </row>
    <row r="897" ht="15.75" customHeight="1"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R897" s="67"/>
      <c r="S897" s="67"/>
      <c r="T897" s="67"/>
    </row>
    <row r="898" ht="15.75" customHeight="1"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R898" s="67"/>
      <c r="S898" s="67"/>
      <c r="T898" s="67"/>
    </row>
    <row r="899" ht="15.75" customHeight="1"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R899" s="67"/>
      <c r="S899" s="67"/>
      <c r="T899" s="67"/>
    </row>
    <row r="900" ht="15.75" customHeight="1"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R900" s="67"/>
      <c r="S900" s="67"/>
      <c r="T900" s="67"/>
    </row>
    <row r="901" ht="15.75" customHeight="1"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R901" s="67"/>
      <c r="S901" s="67"/>
      <c r="T901" s="67"/>
    </row>
    <row r="902" ht="15.75" customHeight="1"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R902" s="67"/>
      <c r="S902" s="67"/>
      <c r="T902" s="67"/>
    </row>
    <row r="903" ht="15.75" customHeight="1"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R903" s="67"/>
      <c r="S903" s="67"/>
      <c r="T903" s="67"/>
    </row>
    <row r="904" ht="15.75" customHeight="1"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R904" s="67"/>
      <c r="S904" s="67"/>
      <c r="T904" s="67"/>
    </row>
    <row r="905" ht="15.75" customHeight="1"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R905" s="67"/>
      <c r="S905" s="67"/>
      <c r="T905" s="67"/>
    </row>
    <row r="906" ht="15.75" customHeight="1"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R906" s="67"/>
      <c r="S906" s="67"/>
      <c r="T906" s="67"/>
    </row>
    <row r="907" ht="15.75" customHeight="1"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R907" s="67"/>
      <c r="S907" s="67"/>
      <c r="T907" s="67"/>
    </row>
    <row r="908" ht="15.75" customHeight="1"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R908" s="67"/>
      <c r="S908" s="67"/>
      <c r="T908" s="67"/>
    </row>
    <row r="909" ht="15.75" customHeight="1"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R909" s="67"/>
      <c r="S909" s="67"/>
      <c r="T909" s="67"/>
    </row>
    <row r="910" ht="15.75" customHeight="1"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R910" s="67"/>
      <c r="S910" s="67"/>
      <c r="T910" s="67"/>
    </row>
    <row r="911" ht="15.75" customHeight="1"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R911" s="67"/>
      <c r="S911" s="67"/>
      <c r="T911" s="67"/>
    </row>
    <row r="912" ht="15.75" customHeight="1"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R912" s="67"/>
      <c r="S912" s="67"/>
      <c r="T912" s="67"/>
    </row>
    <row r="913" ht="15.75" customHeight="1"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R913" s="67"/>
      <c r="S913" s="67"/>
      <c r="T913" s="67"/>
    </row>
    <row r="914" ht="15.75" customHeight="1"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R914" s="67"/>
      <c r="S914" s="67"/>
      <c r="T914" s="67"/>
    </row>
    <row r="915" ht="15.75" customHeight="1"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R915" s="67"/>
      <c r="S915" s="67"/>
      <c r="T915" s="67"/>
    </row>
    <row r="916" ht="15.75" customHeight="1"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R916" s="67"/>
      <c r="S916" s="67"/>
      <c r="T916" s="67"/>
    </row>
    <row r="917" ht="15.75" customHeight="1"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R917" s="67"/>
      <c r="S917" s="67"/>
      <c r="T917" s="67"/>
    </row>
    <row r="918" ht="15.75" customHeight="1"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R918" s="67"/>
      <c r="S918" s="67"/>
      <c r="T918" s="67"/>
    </row>
    <row r="919" ht="15.75" customHeight="1"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R919" s="67"/>
      <c r="S919" s="67"/>
      <c r="T919" s="67"/>
    </row>
    <row r="920" ht="15.75" customHeight="1"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R920" s="67"/>
      <c r="S920" s="67"/>
      <c r="T920" s="67"/>
    </row>
    <row r="921" ht="15.75" customHeight="1"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R921" s="67"/>
      <c r="S921" s="67"/>
      <c r="T921" s="67"/>
    </row>
    <row r="922" ht="15.75" customHeight="1"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R922" s="67"/>
      <c r="S922" s="67"/>
      <c r="T922" s="67"/>
    </row>
    <row r="923" ht="15.75" customHeight="1"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R923" s="67"/>
      <c r="S923" s="67"/>
      <c r="T923" s="67"/>
    </row>
    <row r="924" ht="15.75" customHeight="1"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R924" s="67"/>
      <c r="S924" s="67"/>
      <c r="T924" s="67"/>
    </row>
    <row r="925" ht="15.75" customHeight="1"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R925" s="67"/>
      <c r="S925" s="67"/>
      <c r="T925" s="67"/>
    </row>
    <row r="926" ht="15.75" customHeight="1"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R926" s="67"/>
      <c r="S926" s="67"/>
      <c r="T926" s="67"/>
    </row>
    <row r="927" ht="15.75" customHeight="1"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R927" s="67"/>
      <c r="S927" s="67"/>
      <c r="T927" s="67"/>
    </row>
    <row r="928" ht="15.75" customHeight="1"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R928" s="67"/>
      <c r="S928" s="67"/>
      <c r="T928" s="67"/>
    </row>
    <row r="929" ht="15.75" customHeight="1"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R929" s="67"/>
      <c r="S929" s="67"/>
      <c r="T929" s="67"/>
    </row>
    <row r="930" ht="15.75" customHeight="1"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R930" s="67"/>
      <c r="S930" s="67"/>
      <c r="T930" s="67"/>
    </row>
    <row r="931" ht="15.75" customHeight="1"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R931" s="67"/>
      <c r="S931" s="67"/>
      <c r="T931" s="67"/>
    </row>
    <row r="932" ht="15.75" customHeight="1"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R932" s="67"/>
      <c r="S932" s="67"/>
      <c r="T932" s="67"/>
    </row>
    <row r="933" ht="15.75" customHeight="1"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R933" s="67"/>
      <c r="S933" s="67"/>
      <c r="T933" s="67"/>
    </row>
    <row r="934" ht="15.75" customHeight="1"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R934" s="67"/>
      <c r="S934" s="67"/>
      <c r="T934" s="67"/>
    </row>
    <row r="935" ht="15.75" customHeight="1"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R935" s="67"/>
      <c r="S935" s="67"/>
      <c r="T935" s="67"/>
    </row>
    <row r="936" ht="15.75" customHeight="1"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R936" s="67"/>
      <c r="S936" s="67"/>
      <c r="T936" s="67"/>
    </row>
    <row r="937" ht="15.75" customHeight="1"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R937" s="67"/>
      <c r="S937" s="67"/>
      <c r="T937" s="67"/>
    </row>
    <row r="938" ht="15.75" customHeight="1"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R938" s="67"/>
      <c r="S938" s="67"/>
      <c r="T938" s="67"/>
    </row>
    <row r="939" ht="15.75" customHeight="1"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R939" s="67"/>
      <c r="S939" s="67"/>
      <c r="T939" s="67"/>
    </row>
    <row r="940" ht="15.75" customHeight="1"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R940" s="67"/>
      <c r="S940" s="67"/>
      <c r="T940" s="67"/>
    </row>
    <row r="941" ht="15.75" customHeight="1"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R941" s="67"/>
      <c r="S941" s="67"/>
      <c r="T941" s="67"/>
    </row>
    <row r="942" ht="15.75" customHeight="1"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R942" s="67"/>
      <c r="S942" s="67"/>
      <c r="T942" s="67"/>
    </row>
    <row r="943" ht="15.75" customHeight="1"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R943" s="67"/>
      <c r="S943" s="67"/>
      <c r="T943" s="67"/>
    </row>
    <row r="944" ht="15.75" customHeight="1"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R944" s="67"/>
      <c r="S944" s="67"/>
      <c r="T944" s="67"/>
    </row>
    <row r="945" ht="15.75" customHeight="1"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R945" s="67"/>
      <c r="S945" s="67"/>
      <c r="T945" s="67"/>
    </row>
    <row r="946" ht="15.75" customHeight="1"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R946" s="67"/>
      <c r="S946" s="67"/>
      <c r="T946" s="67"/>
    </row>
    <row r="947" ht="15.75" customHeight="1"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R947" s="67"/>
      <c r="S947" s="67"/>
      <c r="T947" s="67"/>
    </row>
    <row r="948" ht="15.75" customHeight="1"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R948" s="67"/>
      <c r="S948" s="67"/>
      <c r="T948" s="67"/>
    </row>
    <row r="949" ht="15.75" customHeight="1"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R949" s="67"/>
      <c r="S949" s="67"/>
      <c r="T949" s="67"/>
    </row>
    <row r="950" ht="15.75" customHeight="1"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R950" s="67"/>
      <c r="S950" s="67"/>
      <c r="T950" s="67"/>
    </row>
    <row r="951" ht="15.75" customHeight="1"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R951" s="67"/>
      <c r="S951" s="67"/>
      <c r="T951" s="67"/>
    </row>
    <row r="952" ht="15.75" customHeight="1"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R952" s="67"/>
      <c r="S952" s="67"/>
      <c r="T952" s="67"/>
    </row>
    <row r="953" ht="15.75" customHeight="1"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R953" s="67"/>
      <c r="S953" s="67"/>
      <c r="T953" s="67"/>
    </row>
    <row r="954" ht="15.75" customHeight="1"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R954" s="67"/>
      <c r="S954" s="67"/>
      <c r="T954" s="67"/>
    </row>
    <row r="955" ht="15.75" customHeight="1"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R955" s="67"/>
      <c r="S955" s="67"/>
      <c r="T955" s="67"/>
    </row>
    <row r="956" ht="15.75" customHeight="1"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R956" s="67"/>
      <c r="S956" s="67"/>
      <c r="T956" s="67"/>
    </row>
    <row r="957" ht="15.75" customHeight="1"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R957" s="67"/>
      <c r="S957" s="67"/>
      <c r="T957" s="67"/>
    </row>
    <row r="958" ht="15.75" customHeight="1"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R958" s="67"/>
      <c r="S958" s="67"/>
      <c r="T958" s="67"/>
    </row>
    <row r="959" ht="15.75" customHeight="1"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R959" s="67"/>
      <c r="S959" s="67"/>
      <c r="T959" s="67"/>
    </row>
    <row r="960" ht="15.75" customHeight="1"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R960" s="67"/>
      <c r="S960" s="67"/>
      <c r="T960" s="67"/>
    </row>
    <row r="961" ht="15.75" customHeight="1"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R961" s="67"/>
      <c r="S961" s="67"/>
      <c r="T961" s="67"/>
    </row>
    <row r="962" ht="15.75" customHeight="1"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R962" s="67"/>
      <c r="S962" s="67"/>
      <c r="T962" s="67"/>
    </row>
    <row r="963" ht="15.75" customHeight="1"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R963" s="67"/>
      <c r="S963" s="67"/>
      <c r="T963" s="67"/>
    </row>
    <row r="964" ht="15.75" customHeight="1"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R964" s="67"/>
      <c r="S964" s="67"/>
      <c r="T964" s="67"/>
    </row>
    <row r="965" ht="15.75" customHeight="1"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R965" s="67"/>
      <c r="S965" s="67"/>
      <c r="T965" s="67"/>
    </row>
    <row r="966" ht="15.75" customHeight="1"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R966" s="67"/>
      <c r="S966" s="67"/>
      <c r="T966" s="67"/>
    </row>
    <row r="967" ht="15.75" customHeight="1"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R967" s="67"/>
      <c r="S967" s="67"/>
      <c r="T967" s="67"/>
    </row>
    <row r="968" ht="15.75" customHeight="1"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R968" s="67"/>
      <c r="S968" s="67"/>
      <c r="T968" s="67"/>
    </row>
    <row r="969" ht="15.75" customHeight="1"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R969" s="67"/>
      <c r="S969" s="67"/>
      <c r="T969" s="67"/>
    </row>
    <row r="970" ht="15.75" customHeight="1"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R970" s="67"/>
      <c r="S970" s="67"/>
      <c r="T970" s="67"/>
    </row>
    <row r="971" ht="15.75" customHeight="1"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R971" s="67"/>
      <c r="S971" s="67"/>
      <c r="T971" s="67"/>
    </row>
    <row r="972" ht="15.75" customHeight="1"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R972" s="67"/>
      <c r="S972" s="67"/>
      <c r="T972" s="67"/>
    </row>
    <row r="973" ht="15.75" customHeight="1"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R973" s="67"/>
      <c r="S973" s="67"/>
      <c r="T973" s="67"/>
    </row>
    <row r="974" ht="15.75" customHeight="1"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R974" s="67"/>
      <c r="S974" s="67"/>
      <c r="T974" s="67"/>
    </row>
    <row r="975" ht="15.75" customHeight="1"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R975" s="67"/>
      <c r="S975" s="67"/>
      <c r="T975" s="67"/>
    </row>
    <row r="976" ht="15.75" customHeight="1"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R976" s="67"/>
      <c r="S976" s="67"/>
      <c r="T976" s="67"/>
    </row>
    <row r="977" ht="15.75" customHeight="1"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R977" s="67"/>
      <c r="S977" s="67"/>
      <c r="T977" s="67"/>
    </row>
    <row r="978" ht="15.75" customHeight="1"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R978" s="67"/>
      <c r="S978" s="67"/>
      <c r="T978" s="67"/>
    </row>
    <row r="979" ht="15.75" customHeight="1"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R979" s="67"/>
      <c r="S979" s="67"/>
      <c r="T979" s="67"/>
    </row>
    <row r="980" ht="15.75" customHeight="1"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R980" s="67"/>
      <c r="S980" s="67"/>
      <c r="T980" s="67"/>
    </row>
    <row r="981" ht="15.75" customHeight="1"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R981" s="67"/>
      <c r="S981" s="67"/>
      <c r="T981" s="67"/>
    </row>
    <row r="982" ht="15.75" customHeight="1"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R982" s="67"/>
      <c r="S982" s="67"/>
      <c r="T982" s="67"/>
    </row>
    <row r="983" ht="15.75" customHeight="1"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R983" s="67"/>
      <c r="S983" s="67"/>
      <c r="T983" s="67"/>
    </row>
    <row r="984" ht="15.75" customHeight="1"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R984" s="67"/>
      <c r="S984" s="67"/>
      <c r="T984" s="67"/>
    </row>
    <row r="985" ht="15.75" customHeight="1"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R985" s="67"/>
      <c r="S985" s="67"/>
      <c r="T985" s="67"/>
    </row>
    <row r="986" ht="15.75" customHeight="1"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R986" s="67"/>
      <c r="S986" s="67"/>
      <c r="T986" s="67"/>
    </row>
    <row r="987" ht="15.75" customHeight="1"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R987" s="67"/>
      <c r="S987" s="67"/>
      <c r="T987" s="67"/>
    </row>
    <row r="988" ht="15.75" customHeight="1"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R988" s="67"/>
      <c r="S988" s="67"/>
      <c r="T988" s="67"/>
    </row>
    <row r="989" ht="15.75" customHeight="1"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R989" s="67"/>
      <c r="S989" s="67"/>
      <c r="T989" s="67"/>
    </row>
    <row r="990" ht="15.75" customHeight="1"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R990" s="67"/>
      <c r="S990" s="67"/>
      <c r="T990" s="67"/>
    </row>
    <row r="991" ht="15.75" customHeight="1"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R991" s="67"/>
      <c r="S991" s="67"/>
      <c r="T991" s="67"/>
    </row>
    <row r="992" ht="15.75" customHeight="1"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R992" s="67"/>
      <c r="S992" s="67"/>
      <c r="T992" s="67"/>
    </row>
    <row r="993" ht="15.75" customHeight="1"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R993" s="67"/>
      <c r="S993" s="67"/>
      <c r="T993" s="67"/>
    </row>
    <row r="994" ht="15.75" customHeight="1"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R994" s="67"/>
      <c r="S994" s="67"/>
      <c r="T994" s="67"/>
    </row>
    <row r="995" ht="15.75" customHeight="1"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R995" s="67"/>
      <c r="S995" s="67"/>
      <c r="T995" s="67"/>
    </row>
    <row r="996" ht="15.75" customHeight="1"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R996" s="67"/>
      <c r="S996" s="67"/>
      <c r="T996" s="67"/>
    </row>
    <row r="997" ht="15.75" customHeight="1"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R997" s="67"/>
      <c r="S997" s="67"/>
      <c r="T997" s="67"/>
    </row>
    <row r="998" ht="15.75" customHeight="1"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R998" s="67"/>
      <c r="S998" s="67"/>
      <c r="T998" s="67"/>
    </row>
    <row r="999" ht="15.75" customHeight="1"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R999" s="67"/>
      <c r="S999" s="67"/>
      <c r="T999" s="67"/>
    </row>
    <row r="1000" ht="15.75" customHeight="1"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R1000" s="67"/>
      <c r="S1000" s="67"/>
      <c r="T1000" s="67"/>
    </row>
    <row r="1001" ht="15.75" customHeight="1"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R1001" s="67"/>
      <c r="S1001" s="67"/>
      <c r="T1001" s="67"/>
    </row>
  </sheetData>
  <mergeCells count="14">
    <mergeCell ref="A7:A22"/>
    <mergeCell ref="A23:C23"/>
    <mergeCell ref="A24:A61"/>
    <mergeCell ref="B52:C52"/>
    <mergeCell ref="B62:C62"/>
    <mergeCell ref="A63:C63"/>
    <mergeCell ref="A64:C64"/>
    <mergeCell ref="A5:A6"/>
    <mergeCell ref="B5:B6"/>
    <mergeCell ref="C5:C6"/>
    <mergeCell ref="D5:G5"/>
    <mergeCell ref="H5:P5"/>
    <mergeCell ref="Q5:Q6"/>
    <mergeCell ref="R5:T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3.86"/>
    <col customWidth="1" min="2" max="2" width="10.71"/>
    <col customWidth="1" min="3" max="3" width="33.0"/>
    <col customWidth="1" min="4" max="8" width="15.29"/>
    <col customWidth="1" min="9" max="26" width="8.71"/>
  </cols>
  <sheetData>
    <row r="1" ht="23.25" customHeight="1">
      <c r="A1" s="66" t="s">
        <v>89</v>
      </c>
      <c r="B1" s="104"/>
    </row>
    <row r="2">
      <c r="A2" s="30" t="s">
        <v>108</v>
      </c>
      <c r="B2" s="29"/>
    </row>
    <row r="3">
      <c r="A3" s="31" t="s">
        <v>91</v>
      </c>
      <c r="B3" s="29"/>
    </row>
    <row r="5" ht="32.25" customHeight="1">
      <c r="A5" s="68" t="s">
        <v>78</v>
      </c>
      <c r="B5" s="68" t="s">
        <v>0</v>
      </c>
      <c r="C5" s="68" t="s">
        <v>1</v>
      </c>
      <c r="D5" s="65" t="s">
        <v>79</v>
      </c>
      <c r="E5" s="25"/>
      <c r="F5" s="65" t="s">
        <v>80</v>
      </c>
      <c r="G5" s="25"/>
      <c r="H5" s="105" t="s">
        <v>81</v>
      </c>
      <c r="I5" s="106" t="s">
        <v>109</v>
      </c>
      <c r="J5" s="64"/>
      <c r="K5" s="64"/>
      <c r="L5" s="25"/>
      <c r="M5" s="72"/>
    </row>
    <row r="6" ht="33.75" customHeight="1">
      <c r="A6" s="3"/>
      <c r="B6" s="3"/>
      <c r="C6" s="3"/>
      <c r="D6" s="107" t="s">
        <v>110</v>
      </c>
      <c r="E6" s="107" t="s">
        <v>111</v>
      </c>
      <c r="F6" s="107" t="s">
        <v>110</v>
      </c>
      <c r="G6" s="107" t="s">
        <v>111</v>
      </c>
      <c r="H6" s="3"/>
      <c r="I6" s="32" t="s">
        <v>110</v>
      </c>
      <c r="J6" s="32" t="s">
        <v>111</v>
      </c>
      <c r="K6" s="32" t="s">
        <v>112</v>
      </c>
      <c r="L6" s="32" t="s">
        <v>113</v>
      </c>
      <c r="M6" s="108" t="s">
        <v>81</v>
      </c>
    </row>
    <row r="7" ht="20.25" hidden="1" customHeight="1">
      <c r="A7" s="34" t="s">
        <v>84</v>
      </c>
      <c r="B7" s="4">
        <v>3003.0</v>
      </c>
      <c r="C7" s="5" t="s">
        <v>13</v>
      </c>
      <c r="D7" s="7">
        <v>936.0</v>
      </c>
      <c r="E7" s="7">
        <v>727.0</v>
      </c>
      <c r="F7" s="7">
        <v>185.0</v>
      </c>
      <c r="G7" s="7">
        <v>958.0</v>
      </c>
      <c r="H7" s="7">
        <f t="shared" ref="H7:H15" si="2">SUM(D7:G7)</f>
        <v>2806</v>
      </c>
      <c r="I7" s="77">
        <f t="shared" ref="I7:J7" si="1">D7+F7</f>
        <v>1121</v>
      </c>
      <c r="J7" s="77">
        <f t="shared" si="1"/>
        <v>1685</v>
      </c>
      <c r="K7" s="109">
        <f t="shared" ref="K7:K15" si="4">I7/H7</f>
        <v>0.3995010691</v>
      </c>
      <c r="L7" s="109">
        <f t="shared" ref="L7:L15" si="5">J7/H7</f>
        <v>0.6004989309</v>
      </c>
      <c r="M7" s="110">
        <f t="shared" ref="M7:M15" si="6">SUM(I7:J7)</f>
        <v>2806</v>
      </c>
    </row>
    <row r="8" ht="20.25" hidden="1" customHeight="1">
      <c r="A8" s="38"/>
      <c r="B8" s="4">
        <v>3005.0</v>
      </c>
      <c r="C8" s="5" t="s">
        <v>19</v>
      </c>
      <c r="D8" s="7">
        <v>2006.0</v>
      </c>
      <c r="E8" s="7">
        <v>1007.0</v>
      </c>
      <c r="F8" s="7">
        <v>0.0</v>
      </c>
      <c r="G8" s="7">
        <v>0.0</v>
      </c>
      <c r="H8" s="7">
        <f t="shared" si="2"/>
        <v>3013</v>
      </c>
      <c r="I8" s="77">
        <f t="shared" ref="I8:J8" si="3">D8+F8</f>
        <v>2006</v>
      </c>
      <c r="J8" s="77">
        <f t="shared" si="3"/>
        <v>1007</v>
      </c>
      <c r="K8" s="109">
        <f t="shared" si="4"/>
        <v>0.665781613</v>
      </c>
      <c r="L8" s="109">
        <f t="shared" si="5"/>
        <v>0.334218387</v>
      </c>
      <c r="M8" s="110">
        <f t="shared" si="6"/>
        <v>3013</v>
      </c>
    </row>
    <row r="9" ht="20.25" hidden="1" customHeight="1">
      <c r="A9" s="38"/>
      <c r="B9" s="4">
        <v>3006.0</v>
      </c>
      <c r="C9" s="5" t="s">
        <v>20</v>
      </c>
      <c r="D9" s="7">
        <v>928.0</v>
      </c>
      <c r="E9" s="7">
        <v>694.0</v>
      </c>
      <c r="F9" s="7">
        <v>0.0</v>
      </c>
      <c r="G9" s="7">
        <v>0.0</v>
      </c>
      <c r="H9" s="7">
        <f t="shared" si="2"/>
        <v>1622</v>
      </c>
      <c r="I9" s="77">
        <f t="shared" ref="I9:J9" si="7">D9+F9</f>
        <v>928</v>
      </c>
      <c r="J9" s="77">
        <f t="shared" si="7"/>
        <v>694</v>
      </c>
      <c r="K9" s="109">
        <f t="shared" si="4"/>
        <v>0.5721331689</v>
      </c>
      <c r="L9" s="109">
        <f t="shared" si="5"/>
        <v>0.4278668311</v>
      </c>
      <c r="M9" s="110">
        <f t="shared" si="6"/>
        <v>1622</v>
      </c>
    </row>
    <row r="10" ht="20.25" hidden="1" customHeight="1">
      <c r="A10" s="38"/>
      <c r="B10" s="4">
        <v>3012.0</v>
      </c>
      <c r="C10" s="5" t="s">
        <v>21</v>
      </c>
      <c r="D10" s="7">
        <v>13213.0</v>
      </c>
      <c r="E10" s="7">
        <v>12154.0</v>
      </c>
      <c r="F10" s="7">
        <v>383.0</v>
      </c>
      <c r="G10" s="7">
        <v>356.0</v>
      </c>
      <c r="H10" s="7">
        <f t="shared" si="2"/>
        <v>26106</v>
      </c>
      <c r="I10" s="77">
        <f t="shared" ref="I10:J10" si="8">D10+F10</f>
        <v>13596</v>
      </c>
      <c r="J10" s="77">
        <f t="shared" si="8"/>
        <v>12510</v>
      </c>
      <c r="K10" s="109">
        <f t="shared" si="4"/>
        <v>0.5207998161</v>
      </c>
      <c r="L10" s="109">
        <f t="shared" si="5"/>
        <v>0.4792001839</v>
      </c>
      <c r="M10" s="110">
        <f t="shared" si="6"/>
        <v>26106</v>
      </c>
    </row>
    <row r="11" ht="20.25" hidden="1" customHeight="1">
      <c r="A11" s="38"/>
      <c r="B11" s="4">
        <v>3023.0</v>
      </c>
      <c r="C11" s="5" t="s">
        <v>85</v>
      </c>
      <c r="D11" s="7">
        <v>22.0</v>
      </c>
      <c r="E11" s="7">
        <v>10.0</v>
      </c>
      <c r="F11" s="7">
        <v>0.0</v>
      </c>
      <c r="G11" s="7">
        <v>0.0</v>
      </c>
      <c r="H11" s="7">
        <f t="shared" si="2"/>
        <v>32</v>
      </c>
      <c r="I11" s="77">
        <f t="shared" ref="I11:J11" si="9">D11+F11</f>
        <v>22</v>
      </c>
      <c r="J11" s="77">
        <f t="shared" si="9"/>
        <v>10</v>
      </c>
      <c r="K11" s="109">
        <f t="shared" si="4"/>
        <v>0.6875</v>
      </c>
      <c r="L11" s="109">
        <f t="shared" si="5"/>
        <v>0.3125</v>
      </c>
      <c r="M11" s="110">
        <f t="shared" si="6"/>
        <v>32</v>
      </c>
    </row>
    <row r="12" ht="20.25" hidden="1" customHeight="1">
      <c r="A12" s="38"/>
      <c r="B12" s="4">
        <v>3024.0</v>
      </c>
      <c r="C12" s="5" t="s">
        <v>22</v>
      </c>
      <c r="D12" s="7">
        <v>2736.0</v>
      </c>
      <c r="E12" s="7">
        <v>921.0</v>
      </c>
      <c r="F12" s="7">
        <v>0.0</v>
      </c>
      <c r="G12" s="7">
        <v>0.0</v>
      </c>
      <c r="H12" s="7">
        <f t="shared" si="2"/>
        <v>3657</v>
      </c>
      <c r="I12" s="77">
        <f t="shared" ref="I12:J12" si="10">D12+F12</f>
        <v>2736</v>
      </c>
      <c r="J12" s="77">
        <f t="shared" si="10"/>
        <v>921</v>
      </c>
      <c r="K12" s="109">
        <f t="shared" si="4"/>
        <v>0.7481542248</v>
      </c>
      <c r="L12" s="109">
        <f t="shared" si="5"/>
        <v>0.2518457752</v>
      </c>
      <c r="M12" s="110">
        <f t="shared" si="6"/>
        <v>3657</v>
      </c>
    </row>
    <row r="13" ht="20.25" hidden="1" customHeight="1">
      <c r="A13" s="38"/>
      <c r="B13" s="4">
        <v>3038.0</v>
      </c>
      <c r="C13" s="5" t="s">
        <v>23</v>
      </c>
      <c r="D13" s="7">
        <v>98.0</v>
      </c>
      <c r="E13" s="7">
        <v>102.0</v>
      </c>
      <c r="F13" s="7">
        <v>0.0</v>
      </c>
      <c r="G13" s="7">
        <v>0.0</v>
      </c>
      <c r="H13" s="7">
        <f t="shared" si="2"/>
        <v>200</v>
      </c>
      <c r="I13" s="77">
        <f t="shared" ref="I13:J13" si="11">D13+F13</f>
        <v>98</v>
      </c>
      <c r="J13" s="77">
        <f t="shared" si="11"/>
        <v>102</v>
      </c>
      <c r="K13" s="109">
        <f t="shared" si="4"/>
        <v>0.49</v>
      </c>
      <c r="L13" s="109">
        <f t="shared" si="5"/>
        <v>0.51</v>
      </c>
      <c r="M13" s="110">
        <f t="shared" si="6"/>
        <v>200</v>
      </c>
    </row>
    <row r="14" ht="20.25" hidden="1" customHeight="1">
      <c r="A14" s="38"/>
      <c r="B14" s="4">
        <v>4002.0</v>
      </c>
      <c r="C14" s="5" t="s">
        <v>24</v>
      </c>
      <c r="D14" s="7">
        <v>32.0</v>
      </c>
      <c r="E14" s="7">
        <v>31.0</v>
      </c>
      <c r="F14" s="7">
        <v>0.0</v>
      </c>
      <c r="G14" s="7">
        <v>0.0</v>
      </c>
      <c r="H14" s="7">
        <f t="shared" si="2"/>
        <v>63</v>
      </c>
      <c r="I14" s="77">
        <f t="shared" ref="I14:J14" si="12">D14+F14</f>
        <v>32</v>
      </c>
      <c r="J14" s="77">
        <f t="shared" si="12"/>
        <v>31</v>
      </c>
      <c r="K14" s="109">
        <f t="shared" si="4"/>
        <v>0.5079365079</v>
      </c>
      <c r="L14" s="109">
        <f t="shared" si="5"/>
        <v>0.4920634921</v>
      </c>
      <c r="M14" s="110">
        <f t="shared" si="6"/>
        <v>63</v>
      </c>
    </row>
    <row r="15" ht="20.25" hidden="1" customHeight="1">
      <c r="A15" s="38"/>
      <c r="B15" s="4">
        <v>4007.0</v>
      </c>
      <c r="C15" s="5" t="s">
        <v>25</v>
      </c>
      <c r="D15" s="7">
        <v>1337.0</v>
      </c>
      <c r="E15" s="7">
        <v>1027.0</v>
      </c>
      <c r="F15" s="7">
        <v>3.0</v>
      </c>
      <c r="G15" s="7">
        <v>1.0</v>
      </c>
      <c r="H15" s="7">
        <f t="shared" si="2"/>
        <v>2368</v>
      </c>
      <c r="I15" s="77">
        <f t="shared" ref="I15:J15" si="13">D15+F15</f>
        <v>1340</v>
      </c>
      <c r="J15" s="77">
        <f t="shared" si="13"/>
        <v>1028</v>
      </c>
      <c r="K15" s="109">
        <f t="shared" si="4"/>
        <v>0.5658783784</v>
      </c>
      <c r="L15" s="109">
        <f t="shared" si="5"/>
        <v>0.4341216216</v>
      </c>
      <c r="M15" s="110">
        <f t="shared" si="6"/>
        <v>2368</v>
      </c>
    </row>
    <row r="16" ht="20.25" hidden="1" customHeight="1">
      <c r="A16" s="38"/>
      <c r="B16" s="4">
        <v>4008.0</v>
      </c>
      <c r="C16" s="5" t="s">
        <v>26</v>
      </c>
      <c r="D16" s="7">
        <v>138.0</v>
      </c>
      <c r="E16" s="7">
        <v>101.0</v>
      </c>
      <c r="F16" s="7">
        <v>0.0</v>
      </c>
      <c r="G16" s="7">
        <v>0.0</v>
      </c>
      <c r="H16" s="7"/>
      <c r="I16" s="77"/>
      <c r="J16" s="77"/>
      <c r="K16" s="109"/>
      <c r="L16" s="109"/>
      <c r="M16" s="110"/>
    </row>
    <row r="17" ht="20.25" hidden="1" customHeight="1">
      <c r="A17" s="38"/>
      <c r="B17" s="4">
        <v>4016.0</v>
      </c>
      <c r="C17" s="5" t="s">
        <v>27</v>
      </c>
      <c r="D17" s="7">
        <v>739.0</v>
      </c>
      <c r="E17" s="7">
        <v>540.0</v>
      </c>
      <c r="F17" s="7">
        <v>5.0</v>
      </c>
      <c r="G17" s="7">
        <v>2.0</v>
      </c>
      <c r="H17" s="7">
        <f t="shared" ref="H17:H22" si="15">SUM(D17:G17)</f>
        <v>1286</v>
      </c>
      <c r="I17" s="77">
        <f t="shared" ref="I17:J17" si="14">D17+F17</f>
        <v>744</v>
      </c>
      <c r="J17" s="77">
        <f t="shared" si="14"/>
        <v>542</v>
      </c>
      <c r="K17" s="109">
        <f t="shared" ref="K17:K64" si="17">I17/H17</f>
        <v>0.5785381026</v>
      </c>
      <c r="L17" s="109">
        <f t="shared" ref="L17:L64" si="18">J17/H17</f>
        <v>0.4214618974</v>
      </c>
      <c r="M17" s="110">
        <f t="shared" ref="M17:M64" si="19">SUM(I17:J17)</f>
        <v>1286</v>
      </c>
    </row>
    <row r="18" ht="20.25" hidden="1" customHeight="1">
      <c r="A18" s="38"/>
      <c r="B18" s="4">
        <v>4020.0</v>
      </c>
      <c r="C18" s="5" t="s">
        <v>28</v>
      </c>
      <c r="D18" s="7">
        <v>295.0</v>
      </c>
      <c r="E18" s="7">
        <v>400.0</v>
      </c>
      <c r="F18" s="7">
        <v>374.0</v>
      </c>
      <c r="G18" s="7">
        <v>677.0</v>
      </c>
      <c r="H18" s="7">
        <f t="shared" si="15"/>
        <v>1746</v>
      </c>
      <c r="I18" s="77">
        <f t="shared" ref="I18:J18" si="16">D18+F18</f>
        <v>669</v>
      </c>
      <c r="J18" s="77">
        <f t="shared" si="16"/>
        <v>1077</v>
      </c>
      <c r="K18" s="109">
        <f t="shared" si="17"/>
        <v>0.383161512</v>
      </c>
      <c r="L18" s="109">
        <f t="shared" si="18"/>
        <v>0.616838488</v>
      </c>
      <c r="M18" s="110">
        <f t="shared" si="19"/>
        <v>1746</v>
      </c>
    </row>
    <row r="19" ht="20.25" hidden="1" customHeight="1">
      <c r="A19" s="38"/>
      <c r="B19" s="4">
        <v>4023.0</v>
      </c>
      <c r="C19" s="5" t="s">
        <v>29</v>
      </c>
      <c r="D19" s="7">
        <v>118.0</v>
      </c>
      <c r="E19" s="7">
        <v>95.0</v>
      </c>
      <c r="F19" s="7">
        <v>0.0</v>
      </c>
      <c r="G19" s="7">
        <v>0.0</v>
      </c>
      <c r="H19" s="7">
        <f t="shared" si="15"/>
        <v>213</v>
      </c>
      <c r="I19" s="77">
        <f t="shared" ref="I19:J19" si="20">D19+F19</f>
        <v>118</v>
      </c>
      <c r="J19" s="77">
        <f t="shared" si="20"/>
        <v>95</v>
      </c>
      <c r="K19" s="109">
        <f t="shared" si="17"/>
        <v>0.5539906103</v>
      </c>
      <c r="L19" s="109">
        <f t="shared" si="18"/>
        <v>0.4460093897</v>
      </c>
      <c r="M19" s="110">
        <f t="shared" si="19"/>
        <v>213</v>
      </c>
    </row>
    <row r="20" ht="20.25" hidden="1" customHeight="1">
      <c r="A20" s="38"/>
      <c r="B20" s="4">
        <v>4024.0</v>
      </c>
      <c r="C20" s="5" t="s">
        <v>30</v>
      </c>
      <c r="D20" s="7">
        <v>142.0</v>
      </c>
      <c r="E20" s="7">
        <v>64.0</v>
      </c>
      <c r="F20" s="7">
        <v>0.0</v>
      </c>
      <c r="G20" s="7">
        <v>0.0</v>
      </c>
      <c r="H20" s="7">
        <f t="shared" si="15"/>
        <v>206</v>
      </c>
      <c r="I20" s="77">
        <f t="shared" ref="I20:J20" si="21">D20+F20</f>
        <v>142</v>
      </c>
      <c r="J20" s="77">
        <f t="shared" si="21"/>
        <v>64</v>
      </c>
      <c r="K20" s="109">
        <f t="shared" si="17"/>
        <v>0.6893203883</v>
      </c>
      <c r="L20" s="109">
        <f t="shared" si="18"/>
        <v>0.3106796117</v>
      </c>
      <c r="M20" s="110">
        <f t="shared" si="19"/>
        <v>206</v>
      </c>
    </row>
    <row r="21" ht="20.25" hidden="1" customHeight="1">
      <c r="A21" s="38"/>
      <c r="B21" s="4">
        <v>4033.0</v>
      </c>
      <c r="C21" s="5" t="s">
        <v>31</v>
      </c>
      <c r="D21" s="7">
        <v>501.0</v>
      </c>
      <c r="E21" s="7">
        <v>424.0</v>
      </c>
      <c r="F21" s="7">
        <v>0.0</v>
      </c>
      <c r="G21" s="7">
        <v>0.0</v>
      </c>
      <c r="H21" s="7">
        <f t="shared" si="15"/>
        <v>925</v>
      </c>
      <c r="I21" s="77">
        <f t="shared" ref="I21:J21" si="22">D21+F21</f>
        <v>501</v>
      </c>
      <c r="J21" s="77">
        <f t="shared" si="22"/>
        <v>424</v>
      </c>
      <c r="K21" s="109">
        <f t="shared" si="17"/>
        <v>0.5416216216</v>
      </c>
      <c r="L21" s="109">
        <f t="shared" si="18"/>
        <v>0.4583783784</v>
      </c>
      <c r="M21" s="110">
        <f t="shared" si="19"/>
        <v>925</v>
      </c>
    </row>
    <row r="22" ht="20.25" hidden="1" customHeight="1">
      <c r="A22" s="3"/>
      <c r="B22" s="4">
        <v>4071.0</v>
      </c>
      <c r="C22" s="5" t="s">
        <v>32</v>
      </c>
      <c r="D22" s="7">
        <v>233.0</v>
      </c>
      <c r="E22" s="7">
        <v>162.0</v>
      </c>
      <c r="F22" s="7">
        <v>0.0</v>
      </c>
      <c r="G22" s="7">
        <v>0.0</v>
      </c>
      <c r="H22" s="7">
        <f t="shared" si="15"/>
        <v>395</v>
      </c>
      <c r="I22" s="77">
        <f t="shared" ref="I22:J22" si="23">D22+F22</f>
        <v>233</v>
      </c>
      <c r="J22" s="77">
        <f t="shared" si="23"/>
        <v>162</v>
      </c>
      <c r="K22" s="109">
        <f t="shared" si="17"/>
        <v>0.5898734177</v>
      </c>
      <c r="L22" s="109">
        <f t="shared" si="18"/>
        <v>0.4101265823</v>
      </c>
      <c r="M22" s="110">
        <f t="shared" si="19"/>
        <v>395</v>
      </c>
    </row>
    <row r="23" ht="35.25" hidden="1" customHeight="1">
      <c r="A23" s="78" t="s">
        <v>86</v>
      </c>
      <c r="B23" s="64"/>
      <c r="C23" s="25"/>
      <c r="D23" s="39">
        <f t="shared" ref="D23:H23" si="24">SUM(D7:D22)</f>
        <v>23474</v>
      </c>
      <c r="E23" s="39">
        <f t="shared" si="24"/>
        <v>18459</v>
      </c>
      <c r="F23" s="39">
        <f t="shared" si="24"/>
        <v>950</v>
      </c>
      <c r="G23" s="39">
        <f t="shared" si="24"/>
        <v>1994</v>
      </c>
      <c r="H23" s="39">
        <f t="shared" si="24"/>
        <v>44638</v>
      </c>
      <c r="I23" s="111">
        <f t="shared" ref="I23:J23" si="25">D23+F23</f>
        <v>24424</v>
      </c>
      <c r="J23" s="111">
        <f t="shared" si="25"/>
        <v>20453</v>
      </c>
      <c r="K23" s="112">
        <f t="shared" si="17"/>
        <v>0.5471571307</v>
      </c>
      <c r="L23" s="112">
        <f t="shared" si="18"/>
        <v>0.4581970518</v>
      </c>
      <c r="M23" s="113">
        <f t="shared" si="19"/>
        <v>44877</v>
      </c>
    </row>
    <row r="24" ht="20.25" customHeight="1">
      <c r="A24" s="34" t="s">
        <v>87</v>
      </c>
      <c r="B24" s="4">
        <v>6100.0</v>
      </c>
      <c r="C24" s="5" t="s">
        <v>33</v>
      </c>
      <c r="D24" s="7">
        <v>13605.0</v>
      </c>
      <c r="E24" s="7">
        <v>13169.0</v>
      </c>
      <c r="F24" s="7">
        <v>12078.0</v>
      </c>
      <c r="G24" s="7">
        <v>13620.0</v>
      </c>
      <c r="H24" s="7">
        <f t="shared" ref="H24:H51" si="27">SUM(D24:G24)</f>
        <v>52472</v>
      </c>
      <c r="I24" s="77">
        <f t="shared" ref="I24:J24" si="26">D24+F24</f>
        <v>25683</v>
      </c>
      <c r="J24" s="77">
        <f t="shared" si="26"/>
        <v>26789</v>
      </c>
      <c r="K24" s="114">
        <f t="shared" si="17"/>
        <v>0.4894610459</v>
      </c>
      <c r="L24" s="114">
        <f t="shared" si="18"/>
        <v>0.5105389541</v>
      </c>
      <c r="M24" s="110">
        <f t="shared" si="19"/>
        <v>52472</v>
      </c>
    </row>
    <row r="25" ht="20.25" customHeight="1">
      <c r="A25" s="38"/>
      <c r="B25" s="4">
        <v>6101.0</v>
      </c>
      <c r="C25" s="5" t="s">
        <v>34</v>
      </c>
      <c r="D25" s="7">
        <v>5137.0</v>
      </c>
      <c r="E25" s="7">
        <v>6753.0</v>
      </c>
      <c r="F25" s="7">
        <v>4657.0</v>
      </c>
      <c r="G25" s="7">
        <v>9315.0</v>
      </c>
      <c r="H25" s="7">
        <f t="shared" si="27"/>
        <v>25862</v>
      </c>
      <c r="I25" s="77">
        <f t="shared" ref="I25:J25" si="28">D25+F25</f>
        <v>9794</v>
      </c>
      <c r="J25" s="77">
        <f t="shared" si="28"/>
        <v>16068</v>
      </c>
      <c r="K25" s="114">
        <f t="shared" si="17"/>
        <v>0.3787023432</v>
      </c>
      <c r="L25" s="114">
        <f t="shared" si="18"/>
        <v>0.6212976568</v>
      </c>
      <c r="M25" s="110">
        <f t="shared" si="19"/>
        <v>25862</v>
      </c>
    </row>
    <row r="26" ht="20.25" customHeight="1">
      <c r="A26" s="38"/>
      <c r="B26" s="4">
        <v>6102.0</v>
      </c>
      <c r="C26" s="5" t="s">
        <v>35</v>
      </c>
      <c r="D26" s="7">
        <v>4244.0</v>
      </c>
      <c r="E26" s="7">
        <v>3693.0</v>
      </c>
      <c r="F26" s="7">
        <v>2234.0</v>
      </c>
      <c r="G26" s="7">
        <v>2900.0</v>
      </c>
      <c r="H26" s="7">
        <f t="shared" si="27"/>
        <v>13071</v>
      </c>
      <c r="I26" s="77">
        <f t="shared" ref="I26:J26" si="29">D26+F26</f>
        <v>6478</v>
      </c>
      <c r="J26" s="77">
        <f t="shared" si="29"/>
        <v>6593</v>
      </c>
      <c r="K26" s="114">
        <f t="shared" si="17"/>
        <v>0.4956009487</v>
      </c>
      <c r="L26" s="114">
        <f t="shared" si="18"/>
        <v>0.5043990513</v>
      </c>
      <c r="M26" s="110">
        <f t="shared" si="19"/>
        <v>13071</v>
      </c>
    </row>
    <row r="27" ht="20.25" customHeight="1">
      <c r="A27" s="38"/>
      <c r="B27" s="4">
        <v>6103.0</v>
      </c>
      <c r="C27" s="5" t="s">
        <v>36</v>
      </c>
      <c r="D27" s="7">
        <v>3477.0</v>
      </c>
      <c r="E27" s="7">
        <v>3835.0</v>
      </c>
      <c r="F27" s="7">
        <v>3415.0</v>
      </c>
      <c r="G27" s="7">
        <v>4725.0</v>
      </c>
      <c r="H27" s="7">
        <f t="shared" si="27"/>
        <v>15452</v>
      </c>
      <c r="I27" s="77">
        <f t="shared" ref="I27:J27" si="30">D27+F27</f>
        <v>6892</v>
      </c>
      <c r="J27" s="77">
        <f t="shared" si="30"/>
        <v>8560</v>
      </c>
      <c r="K27" s="114">
        <f t="shared" si="17"/>
        <v>0.4460264043</v>
      </c>
      <c r="L27" s="114">
        <f t="shared" si="18"/>
        <v>0.5539735957</v>
      </c>
      <c r="M27" s="110">
        <f t="shared" si="19"/>
        <v>15452</v>
      </c>
    </row>
    <row r="28" ht="20.25" customHeight="1">
      <c r="A28" s="38"/>
      <c r="B28" s="4">
        <v>6104.0</v>
      </c>
      <c r="C28" s="5" t="s">
        <v>37</v>
      </c>
      <c r="D28" s="7">
        <v>3505.0</v>
      </c>
      <c r="E28" s="7">
        <v>5540.0</v>
      </c>
      <c r="F28" s="7">
        <v>6455.0</v>
      </c>
      <c r="G28" s="7">
        <v>6959.0</v>
      </c>
      <c r="H28" s="7">
        <f t="shared" si="27"/>
        <v>22459</v>
      </c>
      <c r="I28" s="77">
        <f t="shared" ref="I28:J28" si="31">D28+F28</f>
        <v>9960</v>
      </c>
      <c r="J28" s="77">
        <f t="shared" si="31"/>
        <v>12499</v>
      </c>
      <c r="K28" s="114">
        <f t="shared" si="17"/>
        <v>0.4434747763</v>
      </c>
      <c r="L28" s="114">
        <f t="shared" si="18"/>
        <v>0.5565252237</v>
      </c>
      <c r="M28" s="110">
        <f t="shared" si="19"/>
        <v>22459</v>
      </c>
    </row>
    <row r="29" ht="20.25" customHeight="1">
      <c r="A29" s="38"/>
      <c r="B29" s="4">
        <v>6105.0</v>
      </c>
      <c r="C29" s="5" t="s">
        <v>39</v>
      </c>
      <c r="D29" s="7">
        <v>3293.0</v>
      </c>
      <c r="E29" s="7">
        <v>4386.0</v>
      </c>
      <c r="F29" s="7">
        <v>2141.0</v>
      </c>
      <c r="G29" s="7">
        <v>3600.0</v>
      </c>
      <c r="H29" s="7">
        <f t="shared" si="27"/>
        <v>13420</v>
      </c>
      <c r="I29" s="77">
        <f t="shared" ref="I29:J29" si="32">D29+F29</f>
        <v>5434</v>
      </c>
      <c r="J29" s="77">
        <f t="shared" si="32"/>
        <v>7986</v>
      </c>
      <c r="K29" s="114">
        <f t="shared" si="17"/>
        <v>0.4049180328</v>
      </c>
      <c r="L29" s="114">
        <f t="shared" si="18"/>
        <v>0.5950819672</v>
      </c>
      <c r="M29" s="110">
        <f t="shared" si="19"/>
        <v>13420</v>
      </c>
    </row>
    <row r="30" ht="20.25" customHeight="1">
      <c r="A30" s="38"/>
      <c r="B30" s="4">
        <v>6106.0</v>
      </c>
      <c r="C30" s="5" t="s">
        <v>40</v>
      </c>
      <c r="D30" s="7">
        <v>2550.0</v>
      </c>
      <c r="E30" s="7">
        <v>3189.0</v>
      </c>
      <c r="F30" s="7">
        <v>719.0</v>
      </c>
      <c r="G30" s="7">
        <v>1549.0</v>
      </c>
      <c r="H30" s="7">
        <f t="shared" si="27"/>
        <v>8007</v>
      </c>
      <c r="I30" s="77">
        <f t="shared" ref="I30:J30" si="33">D30+F30</f>
        <v>3269</v>
      </c>
      <c r="J30" s="77">
        <f t="shared" si="33"/>
        <v>4738</v>
      </c>
      <c r="K30" s="114">
        <f t="shared" si="17"/>
        <v>0.4082677657</v>
      </c>
      <c r="L30" s="114">
        <f t="shared" si="18"/>
        <v>0.5917322343</v>
      </c>
      <c r="M30" s="110">
        <f t="shared" si="19"/>
        <v>8007</v>
      </c>
    </row>
    <row r="31" ht="20.25" customHeight="1">
      <c r="A31" s="38"/>
      <c r="B31" s="4">
        <v>6107.0</v>
      </c>
      <c r="C31" s="5" t="s">
        <v>41</v>
      </c>
      <c r="D31" s="7">
        <v>3756.0</v>
      </c>
      <c r="E31" s="7">
        <v>4373.0</v>
      </c>
      <c r="F31" s="7">
        <v>1377.0</v>
      </c>
      <c r="G31" s="7">
        <v>2727.0</v>
      </c>
      <c r="H31" s="7">
        <f t="shared" si="27"/>
        <v>12233</v>
      </c>
      <c r="I31" s="77">
        <f t="shared" ref="I31:J31" si="34">D31+F31</f>
        <v>5133</v>
      </c>
      <c r="J31" s="77">
        <f t="shared" si="34"/>
        <v>7100</v>
      </c>
      <c r="K31" s="114">
        <f t="shared" si="17"/>
        <v>0.419602714</v>
      </c>
      <c r="L31" s="114">
        <f t="shared" si="18"/>
        <v>0.580397286</v>
      </c>
      <c r="M31" s="110">
        <f t="shared" si="19"/>
        <v>12233</v>
      </c>
    </row>
    <row r="32" ht="20.25" customHeight="1">
      <c r="A32" s="38"/>
      <c r="B32" s="4">
        <v>6108.0</v>
      </c>
      <c r="C32" s="5" t="s">
        <v>42</v>
      </c>
      <c r="D32" s="7">
        <v>4236.0</v>
      </c>
      <c r="E32" s="7">
        <v>6058.0</v>
      </c>
      <c r="F32" s="7">
        <v>2784.0</v>
      </c>
      <c r="G32" s="7">
        <v>6080.0</v>
      </c>
      <c r="H32" s="7">
        <f t="shared" si="27"/>
        <v>19158</v>
      </c>
      <c r="I32" s="77">
        <f t="shared" ref="I32:J32" si="35">D32+F32</f>
        <v>7020</v>
      </c>
      <c r="J32" s="77">
        <f t="shared" si="35"/>
        <v>12138</v>
      </c>
      <c r="K32" s="114">
        <f t="shared" si="17"/>
        <v>0.3664265581</v>
      </c>
      <c r="L32" s="114">
        <f t="shared" si="18"/>
        <v>0.6335734419</v>
      </c>
      <c r="M32" s="110">
        <f t="shared" si="19"/>
        <v>19158</v>
      </c>
    </row>
    <row r="33" ht="20.25" customHeight="1">
      <c r="A33" s="38"/>
      <c r="B33" s="4">
        <v>6109.0</v>
      </c>
      <c r="C33" s="5" t="s">
        <v>43</v>
      </c>
      <c r="D33" s="7">
        <v>2744.0</v>
      </c>
      <c r="E33" s="7">
        <v>3789.0</v>
      </c>
      <c r="F33" s="7">
        <v>1066.0</v>
      </c>
      <c r="G33" s="7">
        <v>2371.0</v>
      </c>
      <c r="H33" s="7">
        <f t="shared" si="27"/>
        <v>9970</v>
      </c>
      <c r="I33" s="77">
        <f t="shared" ref="I33:J33" si="36">D33+F33</f>
        <v>3810</v>
      </c>
      <c r="J33" s="77">
        <f t="shared" si="36"/>
        <v>6160</v>
      </c>
      <c r="K33" s="114">
        <f t="shared" si="17"/>
        <v>0.3821464393</v>
      </c>
      <c r="L33" s="114">
        <f t="shared" si="18"/>
        <v>0.6178535607</v>
      </c>
      <c r="M33" s="110">
        <f t="shared" si="19"/>
        <v>9970</v>
      </c>
    </row>
    <row r="34" ht="20.25" customHeight="1">
      <c r="A34" s="38"/>
      <c r="B34" s="4">
        <v>6110.0</v>
      </c>
      <c r="C34" s="5" t="s">
        <v>44</v>
      </c>
      <c r="D34" s="7">
        <v>4794.0</v>
      </c>
      <c r="E34" s="7">
        <v>5381.0</v>
      </c>
      <c r="F34" s="7">
        <v>3674.0</v>
      </c>
      <c r="G34" s="7">
        <v>6305.0</v>
      </c>
      <c r="H34" s="7">
        <f t="shared" si="27"/>
        <v>20154</v>
      </c>
      <c r="I34" s="77">
        <f t="shared" ref="I34:J34" si="37">D34+F34</f>
        <v>8468</v>
      </c>
      <c r="J34" s="77">
        <f t="shared" si="37"/>
        <v>11686</v>
      </c>
      <c r="K34" s="114">
        <f t="shared" si="17"/>
        <v>0.4201647316</v>
      </c>
      <c r="L34" s="114">
        <f t="shared" si="18"/>
        <v>0.5798352684</v>
      </c>
      <c r="M34" s="110">
        <f t="shared" si="19"/>
        <v>20154</v>
      </c>
    </row>
    <row r="35" ht="20.25" customHeight="1">
      <c r="A35" s="38"/>
      <c r="B35" s="4">
        <v>6111.0</v>
      </c>
      <c r="C35" s="44" t="s">
        <v>45</v>
      </c>
      <c r="D35" s="83">
        <v>3093.0</v>
      </c>
      <c r="E35" s="83">
        <v>4474.0</v>
      </c>
      <c r="F35" s="83">
        <v>1636.0</v>
      </c>
      <c r="G35" s="83">
        <v>3208.0</v>
      </c>
      <c r="H35" s="83">
        <f t="shared" si="27"/>
        <v>12411</v>
      </c>
      <c r="I35" s="85">
        <f t="shared" ref="I35:J35" si="38">D35+F35</f>
        <v>4729</v>
      </c>
      <c r="J35" s="85">
        <f t="shared" si="38"/>
        <v>7682</v>
      </c>
      <c r="K35" s="115">
        <f t="shared" si="17"/>
        <v>0.3810329546</v>
      </c>
      <c r="L35" s="115">
        <f t="shared" si="18"/>
        <v>0.6189670454</v>
      </c>
      <c r="M35" s="116">
        <f t="shared" si="19"/>
        <v>12411</v>
      </c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20.25" customHeight="1">
      <c r="A36" s="38"/>
      <c r="B36" s="4">
        <v>6112.0</v>
      </c>
      <c r="C36" s="44" t="s">
        <v>46</v>
      </c>
      <c r="D36" s="83">
        <v>2513.0</v>
      </c>
      <c r="E36" s="83">
        <v>3337.0</v>
      </c>
      <c r="F36" s="83">
        <v>1332.0</v>
      </c>
      <c r="G36" s="83">
        <v>2690.0</v>
      </c>
      <c r="H36" s="83">
        <f t="shared" si="27"/>
        <v>9872</v>
      </c>
      <c r="I36" s="85">
        <f t="shared" ref="I36:J36" si="39">D36+F36</f>
        <v>3845</v>
      </c>
      <c r="J36" s="85">
        <f t="shared" si="39"/>
        <v>6027</v>
      </c>
      <c r="K36" s="115">
        <f t="shared" si="17"/>
        <v>0.3894854133</v>
      </c>
      <c r="L36" s="115">
        <f t="shared" si="18"/>
        <v>0.6105145867</v>
      </c>
      <c r="M36" s="116">
        <f t="shared" si="19"/>
        <v>9872</v>
      </c>
    </row>
    <row r="37" ht="20.25" customHeight="1">
      <c r="A37" s="38"/>
      <c r="B37" s="4">
        <v>6113.0</v>
      </c>
      <c r="C37" s="44" t="s">
        <v>47</v>
      </c>
      <c r="D37" s="83">
        <v>3597.0</v>
      </c>
      <c r="E37" s="83">
        <v>4598.0</v>
      </c>
      <c r="F37" s="83">
        <v>3848.0</v>
      </c>
      <c r="G37" s="83">
        <v>6430.0</v>
      </c>
      <c r="H37" s="83">
        <f t="shared" si="27"/>
        <v>18473</v>
      </c>
      <c r="I37" s="85">
        <f t="shared" ref="I37:J37" si="40">D37+F37</f>
        <v>7445</v>
      </c>
      <c r="J37" s="85">
        <f t="shared" si="40"/>
        <v>11028</v>
      </c>
      <c r="K37" s="115">
        <f t="shared" si="17"/>
        <v>0.4030206247</v>
      </c>
      <c r="L37" s="115">
        <f t="shared" si="18"/>
        <v>0.5969793753</v>
      </c>
      <c r="M37" s="116">
        <f t="shared" si="19"/>
        <v>18473</v>
      </c>
    </row>
    <row r="38" ht="20.25" customHeight="1">
      <c r="A38" s="38"/>
      <c r="B38" s="4">
        <v>6114.0</v>
      </c>
      <c r="C38" s="44" t="s">
        <v>48</v>
      </c>
      <c r="D38" s="83">
        <v>3543.0</v>
      </c>
      <c r="E38" s="83">
        <v>4118.0</v>
      </c>
      <c r="F38" s="83">
        <v>1622.0</v>
      </c>
      <c r="G38" s="83">
        <v>2068.0</v>
      </c>
      <c r="H38" s="83">
        <f t="shared" si="27"/>
        <v>11351</v>
      </c>
      <c r="I38" s="85">
        <f t="shared" ref="I38:J38" si="41">D38+F38</f>
        <v>5165</v>
      </c>
      <c r="J38" s="85">
        <f t="shared" si="41"/>
        <v>6186</v>
      </c>
      <c r="K38" s="115">
        <f t="shared" si="17"/>
        <v>0.4550259889</v>
      </c>
      <c r="L38" s="115">
        <f t="shared" si="18"/>
        <v>0.5449740111</v>
      </c>
      <c r="M38" s="116">
        <f t="shared" si="19"/>
        <v>11351</v>
      </c>
    </row>
    <row r="39" ht="20.25" customHeight="1">
      <c r="A39" s="38"/>
      <c r="B39" s="4">
        <v>6115.0</v>
      </c>
      <c r="C39" s="44" t="s">
        <v>49</v>
      </c>
      <c r="D39" s="83">
        <v>4156.0</v>
      </c>
      <c r="E39" s="83">
        <v>3989.0</v>
      </c>
      <c r="F39" s="83">
        <v>1451.0</v>
      </c>
      <c r="G39" s="83">
        <v>2144.0</v>
      </c>
      <c r="H39" s="83">
        <f t="shared" si="27"/>
        <v>11740</v>
      </c>
      <c r="I39" s="85">
        <f t="shared" ref="I39:J39" si="42">D39+F39</f>
        <v>5607</v>
      </c>
      <c r="J39" s="85">
        <f t="shared" si="42"/>
        <v>6133</v>
      </c>
      <c r="K39" s="115">
        <f t="shared" si="17"/>
        <v>0.4775979557</v>
      </c>
      <c r="L39" s="115">
        <f t="shared" si="18"/>
        <v>0.5224020443</v>
      </c>
      <c r="M39" s="116">
        <f t="shared" si="19"/>
        <v>11740</v>
      </c>
    </row>
    <row r="40" ht="20.25" customHeight="1">
      <c r="A40" s="38"/>
      <c r="B40" s="4">
        <v>6116.0</v>
      </c>
      <c r="C40" s="5" t="s">
        <v>50</v>
      </c>
      <c r="D40" s="7">
        <v>3237.0</v>
      </c>
      <c r="E40" s="7">
        <v>4686.0</v>
      </c>
      <c r="F40" s="7">
        <v>1566.0</v>
      </c>
      <c r="G40" s="7">
        <v>2599.0</v>
      </c>
      <c r="H40" s="7">
        <f t="shared" si="27"/>
        <v>12088</v>
      </c>
      <c r="I40" s="77">
        <f t="shared" ref="I40:J40" si="43">D40+F40</f>
        <v>4803</v>
      </c>
      <c r="J40" s="77">
        <f t="shared" si="43"/>
        <v>7285</v>
      </c>
      <c r="K40" s="114">
        <f t="shared" si="17"/>
        <v>0.3973362012</v>
      </c>
      <c r="L40" s="114">
        <f t="shared" si="18"/>
        <v>0.6026637988</v>
      </c>
      <c r="M40" s="110">
        <f t="shared" si="19"/>
        <v>12088</v>
      </c>
    </row>
    <row r="41" ht="20.25" customHeight="1">
      <c r="A41" s="38"/>
      <c r="B41" s="87">
        <v>6117.0</v>
      </c>
      <c r="C41" s="88" t="s">
        <v>51</v>
      </c>
      <c r="D41" s="90">
        <v>2185.0</v>
      </c>
      <c r="E41" s="90">
        <v>2915.0</v>
      </c>
      <c r="F41" s="90">
        <v>1322.0</v>
      </c>
      <c r="G41" s="90">
        <v>2051.0</v>
      </c>
      <c r="H41" s="90">
        <f t="shared" si="27"/>
        <v>8473</v>
      </c>
      <c r="I41" s="92">
        <f t="shared" ref="I41:J41" si="44">D41+F41</f>
        <v>3507</v>
      </c>
      <c r="J41" s="92">
        <f t="shared" si="44"/>
        <v>4966</v>
      </c>
      <c r="K41" s="117">
        <f t="shared" si="17"/>
        <v>0.413902986</v>
      </c>
      <c r="L41" s="117">
        <f t="shared" si="18"/>
        <v>0.586097014</v>
      </c>
      <c r="M41" s="118">
        <f t="shared" si="19"/>
        <v>8473</v>
      </c>
    </row>
    <row r="42" ht="20.25" customHeight="1">
      <c r="A42" s="38"/>
      <c r="B42" s="4">
        <v>6118.0</v>
      </c>
      <c r="C42" s="5" t="s">
        <v>52</v>
      </c>
      <c r="D42" s="7">
        <v>1198.0</v>
      </c>
      <c r="E42" s="7">
        <v>1638.0</v>
      </c>
      <c r="F42" s="7">
        <v>637.0</v>
      </c>
      <c r="G42" s="7">
        <v>1203.0</v>
      </c>
      <c r="H42" s="7">
        <f t="shared" si="27"/>
        <v>4676</v>
      </c>
      <c r="I42" s="77">
        <f t="shared" ref="I42:J42" si="45">D42+F42</f>
        <v>1835</v>
      </c>
      <c r="J42" s="77">
        <f t="shared" si="45"/>
        <v>2841</v>
      </c>
      <c r="K42" s="114">
        <f t="shared" si="17"/>
        <v>0.3924294269</v>
      </c>
      <c r="L42" s="114">
        <f t="shared" si="18"/>
        <v>0.6075705731</v>
      </c>
      <c r="M42" s="110">
        <f t="shared" si="19"/>
        <v>4676</v>
      </c>
    </row>
    <row r="43" ht="20.25" customHeight="1">
      <c r="A43" s="38"/>
      <c r="B43" s="4">
        <v>6171.0</v>
      </c>
      <c r="C43" s="5" t="s">
        <v>53</v>
      </c>
      <c r="D43" s="7">
        <v>4222.0</v>
      </c>
      <c r="E43" s="7">
        <v>5974.0</v>
      </c>
      <c r="F43" s="7">
        <v>1793.0</v>
      </c>
      <c r="G43" s="7">
        <v>4037.0</v>
      </c>
      <c r="H43" s="7">
        <f t="shared" si="27"/>
        <v>16026</v>
      </c>
      <c r="I43" s="77">
        <f t="shared" ref="I43:J43" si="46">D43+F43</f>
        <v>6015</v>
      </c>
      <c r="J43" s="77">
        <f t="shared" si="46"/>
        <v>10011</v>
      </c>
      <c r="K43" s="114">
        <f t="shared" si="17"/>
        <v>0.3753275927</v>
      </c>
      <c r="L43" s="114">
        <f t="shared" si="18"/>
        <v>0.6246724073</v>
      </c>
      <c r="M43" s="110">
        <f t="shared" si="19"/>
        <v>16026</v>
      </c>
    </row>
    <row r="44" ht="20.25" customHeight="1">
      <c r="A44" s="38"/>
      <c r="B44" s="4">
        <v>6172.0</v>
      </c>
      <c r="C44" s="5" t="s">
        <v>54</v>
      </c>
      <c r="D44" s="7">
        <v>2461.0</v>
      </c>
      <c r="E44" s="7">
        <v>2958.0</v>
      </c>
      <c r="F44" s="7">
        <v>719.0</v>
      </c>
      <c r="G44" s="7">
        <v>1697.0</v>
      </c>
      <c r="H44" s="7">
        <f t="shared" si="27"/>
        <v>7835</v>
      </c>
      <c r="I44" s="77">
        <f t="shared" ref="I44:J44" si="47">D44+F44</f>
        <v>3180</v>
      </c>
      <c r="J44" s="77">
        <f t="shared" si="47"/>
        <v>4655</v>
      </c>
      <c r="K44" s="114">
        <f t="shared" si="17"/>
        <v>0.4058710913</v>
      </c>
      <c r="L44" s="114">
        <f t="shared" si="18"/>
        <v>0.5941289087</v>
      </c>
      <c r="M44" s="110">
        <f t="shared" si="19"/>
        <v>7835</v>
      </c>
    </row>
    <row r="45" ht="20.25" customHeight="1">
      <c r="A45" s="38"/>
      <c r="B45" s="4">
        <v>6173.0</v>
      </c>
      <c r="C45" s="5" t="s">
        <v>55</v>
      </c>
      <c r="D45" s="7">
        <v>1280.0</v>
      </c>
      <c r="E45" s="7">
        <v>1506.0</v>
      </c>
      <c r="F45" s="7">
        <v>297.0</v>
      </c>
      <c r="G45" s="7">
        <v>559.0</v>
      </c>
      <c r="H45" s="7">
        <f t="shared" si="27"/>
        <v>3642</v>
      </c>
      <c r="I45" s="77">
        <f t="shared" ref="I45:J45" si="48">D45+F45</f>
        <v>1577</v>
      </c>
      <c r="J45" s="77">
        <f t="shared" si="48"/>
        <v>2065</v>
      </c>
      <c r="K45" s="114">
        <f t="shared" si="17"/>
        <v>0.433003844</v>
      </c>
      <c r="L45" s="114">
        <f t="shared" si="18"/>
        <v>0.566996156</v>
      </c>
      <c r="M45" s="110">
        <f t="shared" si="19"/>
        <v>3642</v>
      </c>
    </row>
    <row r="46" ht="20.25" customHeight="1">
      <c r="A46" s="38"/>
      <c r="B46" s="4">
        <v>6174.0</v>
      </c>
      <c r="C46" s="5" t="s">
        <v>56</v>
      </c>
      <c r="D46" s="7">
        <v>1601.0</v>
      </c>
      <c r="E46" s="7">
        <v>2139.0</v>
      </c>
      <c r="F46" s="7">
        <v>914.0</v>
      </c>
      <c r="G46" s="7">
        <v>1118.0</v>
      </c>
      <c r="H46" s="7">
        <f t="shared" si="27"/>
        <v>5772</v>
      </c>
      <c r="I46" s="77">
        <f t="shared" ref="I46:J46" si="49">D46+F46</f>
        <v>2515</v>
      </c>
      <c r="J46" s="77">
        <f t="shared" si="49"/>
        <v>3257</v>
      </c>
      <c r="K46" s="114">
        <f t="shared" si="17"/>
        <v>0.4357241857</v>
      </c>
      <c r="L46" s="114">
        <f t="shared" si="18"/>
        <v>0.5642758143</v>
      </c>
      <c r="M46" s="110">
        <f t="shared" si="19"/>
        <v>5772</v>
      </c>
    </row>
    <row r="47" ht="20.25" customHeight="1">
      <c r="A47" s="38"/>
      <c r="B47" s="4">
        <v>6175.0</v>
      </c>
      <c r="C47" s="5" t="s">
        <v>57</v>
      </c>
      <c r="D47" s="7">
        <v>3174.0</v>
      </c>
      <c r="E47" s="7">
        <v>4472.0</v>
      </c>
      <c r="F47" s="7">
        <v>5999.0</v>
      </c>
      <c r="G47" s="7">
        <v>5602.0</v>
      </c>
      <c r="H47" s="7">
        <f t="shared" si="27"/>
        <v>19247</v>
      </c>
      <c r="I47" s="77">
        <f t="shared" ref="I47:J47" si="50">D47+F47</f>
        <v>9173</v>
      </c>
      <c r="J47" s="77">
        <f t="shared" si="50"/>
        <v>10074</v>
      </c>
      <c r="K47" s="114">
        <f t="shared" si="17"/>
        <v>0.4765937549</v>
      </c>
      <c r="L47" s="114">
        <f t="shared" si="18"/>
        <v>0.5234062451</v>
      </c>
      <c r="M47" s="110">
        <f t="shared" si="19"/>
        <v>19247</v>
      </c>
    </row>
    <row r="48" ht="20.25" customHeight="1">
      <c r="A48" s="38"/>
      <c r="B48" s="4">
        <v>6176.0</v>
      </c>
      <c r="C48" s="5" t="s">
        <v>58</v>
      </c>
      <c r="D48" s="7">
        <v>1905.0</v>
      </c>
      <c r="E48" s="7">
        <v>3408.0</v>
      </c>
      <c r="F48" s="7">
        <v>486.0</v>
      </c>
      <c r="G48" s="7">
        <v>1443.0</v>
      </c>
      <c r="H48" s="7">
        <f t="shared" si="27"/>
        <v>7242</v>
      </c>
      <c r="I48" s="77">
        <f t="shared" ref="I48:J48" si="51">D48+F48</f>
        <v>2391</v>
      </c>
      <c r="J48" s="77">
        <f t="shared" si="51"/>
        <v>4851</v>
      </c>
      <c r="K48" s="114">
        <f t="shared" si="17"/>
        <v>0.3301574151</v>
      </c>
      <c r="L48" s="114">
        <f t="shared" si="18"/>
        <v>0.6698425849</v>
      </c>
      <c r="M48" s="110">
        <f t="shared" si="19"/>
        <v>7242</v>
      </c>
    </row>
    <row r="49" ht="20.25" customHeight="1">
      <c r="A49" s="38"/>
      <c r="B49" s="4">
        <v>6177.0</v>
      </c>
      <c r="C49" s="5" t="s">
        <v>59</v>
      </c>
      <c r="D49" s="7">
        <v>1459.0</v>
      </c>
      <c r="E49" s="7">
        <v>1956.0</v>
      </c>
      <c r="F49" s="7">
        <v>1489.0</v>
      </c>
      <c r="G49" s="7">
        <v>1407.0</v>
      </c>
      <c r="H49" s="7">
        <f t="shared" si="27"/>
        <v>6311</v>
      </c>
      <c r="I49" s="77">
        <f t="shared" ref="I49:J49" si="52">D49+F49</f>
        <v>2948</v>
      </c>
      <c r="J49" s="77">
        <f t="shared" si="52"/>
        <v>3363</v>
      </c>
      <c r="K49" s="114">
        <f t="shared" si="17"/>
        <v>0.4671209</v>
      </c>
      <c r="L49" s="114">
        <f t="shared" si="18"/>
        <v>0.5328791</v>
      </c>
      <c r="M49" s="110">
        <f t="shared" si="19"/>
        <v>6311</v>
      </c>
    </row>
    <row r="50" ht="20.25" customHeight="1">
      <c r="A50" s="38"/>
      <c r="B50" s="4">
        <v>6178.0</v>
      </c>
      <c r="C50" s="5" t="s">
        <v>60</v>
      </c>
      <c r="D50" s="7">
        <v>2141.0</v>
      </c>
      <c r="E50" s="7">
        <v>2860.0</v>
      </c>
      <c r="F50" s="7">
        <v>490.0</v>
      </c>
      <c r="G50" s="7">
        <v>975.0</v>
      </c>
      <c r="H50" s="7">
        <f t="shared" si="27"/>
        <v>6466</v>
      </c>
      <c r="I50" s="77">
        <f t="shared" ref="I50:J50" si="53">D50+F50</f>
        <v>2631</v>
      </c>
      <c r="J50" s="77">
        <f t="shared" si="53"/>
        <v>3835</v>
      </c>
      <c r="K50" s="114">
        <f t="shared" si="17"/>
        <v>0.4068976183</v>
      </c>
      <c r="L50" s="114">
        <f t="shared" si="18"/>
        <v>0.5931023817</v>
      </c>
      <c r="M50" s="110">
        <f t="shared" si="19"/>
        <v>6466</v>
      </c>
    </row>
    <row r="51" ht="20.25" customHeight="1">
      <c r="A51" s="38"/>
      <c r="B51" s="4">
        <v>6179.0</v>
      </c>
      <c r="C51" s="5" t="s">
        <v>61</v>
      </c>
      <c r="D51" s="7">
        <v>1184.0</v>
      </c>
      <c r="E51" s="7">
        <v>1427.0</v>
      </c>
      <c r="F51" s="7">
        <v>1245.0</v>
      </c>
      <c r="G51" s="7">
        <v>1005.0</v>
      </c>
      <c r="H51" s="7">
        <f t="shared" si="27"/>
        <v>4861</v>
      </c>
      <c r="I51" s="77">
        <f t="shared" ref="I51:J51" si="54">D51+F51</f>
        <v>2429</v>
      </c>
      <c r="J51" s="77">
        <f t="shared" si="54"/>
        <v>2432</v>
      </c>
      <c r="K51" s="114">
        <f t="shared" si="17"/>
        <v>0.4996914215</v>
      </c>
      <c r="L51" s="114">
        <f t="shared" si="18"/>
        <v>0.5003085785</v>
      </c>
      <c r="M51" s="110">
        <f t="shared" si="19"/>
        <v>4861</v>
      </c>
    </row>
    <row r="52" ht="20.25" customHeight="1">
      <c r="A52" s="38"/>
      <c r="B52" s="24" t="s">
        <v>62</v>
      </c>
      <c r="C52" s="25"/>
      <c r="D52" s="26">
        <f t="shared" ref="D52:H52" si="55">SUM(D24:D51)</f>
        <v>94290</v>
      </c>
      <c r="E52" s="26">
        <f t="shared" si="55"/>
        <v>116621</v>
      </c>
      <c r="F52" s="26">
        <f t="shared" si="55"/>
        <v>67446</v>
      </c>
      <c r="G52" s="26">
        <f t="shared" si="55"/>
        <v>100387</v>
      </c>
      <c r="H52" s="26">
        <f t="shared" si="55"/>
        <v>378744</v>
      </c>
      <c r="I52" s="81">
        <f t="shared" ref="I52:J52" si="56">D52+F52</f>
        <v>161736</v>
      </c>
      <c r="J52" s="81">
        <f t="shared" si="56"/>
        <v>217008</v>
      </c>
      <c r="K52" s="119">
        <f t="shared" si="17"/>
        <v>0.4270325074</v>
      </c>
      <c r="L52" s="119">
        <f t="shared" si="18"/>
        <v>0.5729674926</v>
      </c>
      <c r="M52" s="113">
        <f t="shared" si="19"/>
        <v>378744</v>
      </c>
    </row>
    <row r="53" ht="20.25" customHeight="1">
      <c r="A53" s="38"/>
      <c r="B53" s="17">
        <v>6200.0</v>
      </c>
      <c r="C53" s="18" t="s">
        <v>63</v>
      </c>
      <c r="D53" s="20">
        <v>4238.0</v>
      </c>
      <c r="E53" s="20">
        <v>4042.0</v>
      </c>
      <c r="F53" s="20">
        <v>7205.0</v>
      </c>
      <c r="G53" s="20">
        <v>6170.0</v>
      </c>
      <c r="H53" s="20">
        <f t="shared" ref="H53:H61" si="58">SUM(D53:G53)</f>
        <v>21655</v>
      </c>
      <c r="I53" s="97">
        <f t="shared" ref="I53:J53" si="57">D53+F53</f>
        <v>11443</v>
      </c>
      <c r="J53" s="97">
        <f t="shared" si="57"/>
        <v>10212</v>
      </c>
      <c r="K53" s="120">
        <f t="shared" si="17"/>
        <v>0.528422997</v>
      </c>
      <c r="L53" s="120">
        <f t="shared" si="18"/>
        <v>0.471577003</v>
      </c>
      <c r="M53" s="121">
        <f t="shared" si="19"/>
        <v>21655</v>
      </c>
    </row>
    <row r="54" ht="20.25" customHeight="1">
      <c r="A54" s="38"/>
      <c r="B54" s="17">
        <v>6201.0</v>
      </c>
      <c r="C54" s="18" t="s">
        <v>64</v>
      </c>
      <c r="D54" s="20">
        <v>3179.0</v>
      </c>
      <c r="E54" s="20">
        <v>4359.0</v>
      </c>
      <c r="F54" s="20">
        <v>846.0</v>
      </c>
      <c r="G54" s="20">
        <v>1787.0</v>
      </c>
      <c r="H54" s="20">
        <f t="shared" si="58"/>
        <v>10171</v>
      </c>
      <c r="I54" s="97">
        <f t="shared" ref="I54:J54" si="59">D54+F54</f>
        <v>4025</v>
      </c>
      <c r="J54" s="97">
        <f t="shared" si="59"/>
        <v>6146</v>
      </c>
      <c r="K54" s="120">
        <f t="shared" si="17"/>
        <v>0.3957329663</v>
      </c>
      <c r="L54" s="120">
        <f t="shared" si="18"/>
        <v>0.6042670337</v>
      </c>
      <c r="M54" s="121">
        <f t="shared" si="19"/>
        <v>10171</v>
      </c>
    </row>
    <row r="55" ht="20.25" customHeight="1">
      <c r="A55" s="38"/>
      <c r="B55" s="17">
        <v>6202.0</v>
      </c>
      <c r="C55" s="18" t="s">
        <v>65</v>
      </c>
      <c r="D55" s="20">
        <v>3283.0</v>
      </c>
      <c r="E55" s="20">
        <v>4112.0</v>
      </c>
      <c r="F55" s="20">
        <v>1975.0</v>
      </c>
      <c r="G55" s="20">
        <v>3265.0</v>
      </c>
      <c r="H55" s="20">
        <f t="shared" si="58"/>
        <v>12635</v>
      </c>
      <c r="I55" s="97">
        <f t="shared" ref="I55:J55" si="60">D55+F55</f>
        <v>5258</v>
      </c>
      <c r="J55" s="97">
        <f t="shared" si="60"/>
        <v>7377</v>
      </c>
      <c r="K55" s="120">
        <f t="shared" si="17"/>
        <v>0.4161456272</v>
      </c>
      <c r="L55" s="120">
        <f t="shared" si="18"/>
        <v>0.5838543728</v>
      </c>
      <c r="M55" s="121">
        <f t="shared" si="19"/>
        <v>12635</v>
      </c>
    </row>
    <row r="56" ht="20.25" customHeight="1">
      <c r="A56" s="38"/>
      <c r="B56" s="17">
        <v>6203.0</v>
      </c>
      <c r="C56" s="18" t="s">
        <v>66</v>
      </c>
      <c r="D56" s="20">
        <v>3434.0</v>
      </c>
      <c r="E56" s="20">
        <v>3727.0</v>
      </c>
      <c r="F56" s="20">
        <v>2183.0</v>
      </c>
      <c r="G56" s="20">
        <v>3040.0</v>
      </c>
      <c r="H56" s="20">
        <f t="shared" si="58"/>
        <v>12384</v>
      </c>
      <c r="I56" s="97">
        <f t="shared" ref="I56:J56" si="61">D56+F56</f>
        <v>5617</v>
      </c>
      <c r="J56" s="97">
        <f t="shared" si="61"/>
        <v>6767</v>
      </c>
      <c r="K56" s="120">
        <f t="shared" si="17"/>
        <v>0.4535691214</v>
      </c>
      <c r="L56" s="120">
        <f t="shared" si="18"/>
        <v>0.5464308786</v>
      </c>
      <c r="M56" s="121">
        <f t="shared" si="19"/>
        <v>12384</v>
      </c>
    </row>
    <row r="57" ht="20.25" customHeight="1">
      <c r="A57" s="38"/>
      <c r="B57" s="4">
        <v>6204.0</v>
      </c>
      <c r="C57" s="5" t="s">
        <v>67</v>
      </c>
      <c r="D57" s="7">
        <v>3700.0</v>
      </c>
      <c r="E57" s="7">
        <v>5645.0</v>
      </c>
      <c r="F57" s="7">
        <v>2502.0</v>
      </c>
      <c r="G57" s="7">
        <v>4013.0</v>
      </c>
      <c r="H57" s="7">
        <f t="shared" si="58"/>
        <v>15860</v>
      </c>
      <c r="I57" s="77">
        <f t="shared" ref="I57:J57" si="62">D57+F57</f>
        <v>6202</v>
      </c>
      <c r="J57" s="77">
        <f t="shared" si="62"/>
        <v>9658</v>
      </c>
      <c r="K57" s="114">
        <f t="shared" si="17"/>
        <v>0.3910466583</v>
      </c>
      <c r="L57" s="114">
        <f t="shared" si="18"/>
        <v>0.6089533417</v>
      </c>
      <c r="M57" s="110">
        <f t="shared" si="19"/>
        <v>15860</v>
      </c>
    </row>
    <row r="58" ht="20.25" customHeight="1">
      <c r="A58" s="38"/>
      <c r="B58" s="4">
        <v>6271.0</v>
      </c>
      <c r="C58" s="5" t="s">
        <v>68</v>
      </c>
      <c r="D58" s="7">
        <v>2246.0</v>
      </c>
      <c r="E58" s="7">
        <v>3889.0</v>
      </c>
      <c r="F58" s="7">
        <v>3159.0</v>
      </c>
      <c r="G58" s="7">
        <v>4436.0</v>
      </c>
      <c r="H58" s="7">
        <f t="shared" si="58"/>
        <v>13730</v>
      </c>
      <c r="I58" s="77">
        <f t="shared" ref="I58:J58" si="63">D58+F58</f>
        <v>5405</v>
      </c>
      <c r="J58" s="77">
        <f t="shared" si="63"/>
        <v>8325</v>
      </c>
      <c r="K58" s="114">
        <f t="shared" si="17"/>
        <v>0.3936635106</v>
      </c>
      <c r="L58" s="114">
        <f t="shared" si="18"/>
        <v>0.6063364894</v>
      </c>
      <c r="M58" s="110">
        <f t="shared" si="19"/>
        <v>13730</v>
      </c>
    </row>
    <row r="59" ht="20.25" customHeight="1">
      <c r="A59" s="38"/>
      <c r="B59" s="4">
        <v>6272.0</v>
      </c>
      <c r="C59" s="5" t="s">
        <v>69</v>
      </c>
      <c r="D59" s="7">
        <v>1596.0</v>
      </c>
      <c r="E59" s="7">
        <v>2648.0</v>
      </c>
      <c r="F59" s="7">
        <v>473.0</v>
      </c>
      <c r="G59" s="7">
        <v>1145.0</v>
      </c>
      <c r="H59" s="7">
        <f t="shared" si="58"/>
        <v>5862</v>
      </c>
      <c r="I59" s="77">
        <f t="shared" ref="I59:J59" si="64">D59+F59</f>
        <v>2069</v>
      </c>
      <c r="J59" s="77">
        <f t="shared" si="64"/>
        <v>3793</v>
      </c>
      <c r="K59" s="114">
        <f t="shared" si="17"/>
        <v>0.3529512112</v>
      </c>
      <c r="L59" s="114">
        <f t="shared" si="18"/>
        <v>0.6470487888</v>
      </c>
      <c r="M59" s="110">
        <f t="shared" si="19"/>
        <v>5862</v>
      </c>
    </row>
    <row r="60" ht="20.25" customHeight="1">
      <c r="A60" s="38"/>
      <c r="B60" s="4">
        <v>6273.0</v>
      </c>
      <c r="C60" s="5" t="s">
        <v>70</v>
      </c>
      <c r="D60" s="7">
        <v>1256.0</v>
      </c>
      <c r="E60" s="7">
        <v>2635.0</v>
      </c>
      <c r="F60" s="7">
        <v>611.0</v>
      </c>
      <c r="G60" s="7">
        <v>1345.0</v>
      </c>
      <c r="H60" s="7">
        <f t="shared" si="58"/>
        <v>5847</v>
      </c>
      <c r="I60" s="77">
        <f t="shared" ref="I60:J60" si="65">D60+F60</f>
        <v>1867</v>
      </c>
      <c r="J60" s="77">
        <f t="shared" si="65"/>
        <v>3980</v>
      </c>
      <c r="K60" s="114">
        <f t="shared" si="17"/>
        <v>0.3193090474</v>
      </c>
      <c r="L60" s="114">
        <f t="shared" si="18"/>
        <v>0.6806909526</v>
      </c>
      <c r="M60" s="110">
        <f t="shared" si="19"/>
        <v>5847</v>
      </c>
    </row>
    <row r="61" ht="20.25" customHeight="1">
      <c r="A61" s="3"/>
      <c r="B61" s="4">
        <v>6274.0</v>
      </c>
      <c r="C61" s="5" t="s">
        <v>71</v>
      </c>
      <c r="D61" s="7">
        <v>1596.0</v>
      </c>
      <c r="E61" s="7">
        <v>2513.0</v>
      </c>
      <c r="F61" s="7">
        <v>6328.0</v>
      </c>
      <c r="G61" s="7">
        <v>4969.0</v>
      </c>
      <c r="H61" s="7">
        <f t="shared" si="58"/>
        <v>15406</v>
      </c>
      <c r="I61" s="77">
        <f t="shared" ref="I61:J61" si="66">D61+F61</f>
        <v>7924</v>
      </c>
      <c r="J61" s="77">
        <f t="shared" si="66"/>
        <v>7482</v>
      </c>
      <c r="K61" s="114">
        <f t="shared" si="17"/>
        <v>0.5143450604</v>
      </c>
      <c r="L61" s="114">
        <f t="shared" si="18"/>
        <v>0.4856549396</v>
      </c>
      <c r="M61" s="110">
        <f t="shared" si="19"/>
        <v>15406</v>
      </c>
    </row>
    <row r="62" ht="20.25" customHeight="1">
      <c r="A62" s="98"/>
      <c r="B62" s="24" t="s">
        <v>72</v>
      </c>
      <c r="C62" s="25"/>
      <c r="D62" s="26">
        <f t="shared" ref="D62:H62" si="67">SUM(D53:D61)</f>
        <v>24528</v>
      </c>
      <c r="E62" s="26">
        <f t="shared" si="67"/>
        <v>33570</v>
      </c>
      <c r="F62" s="26">
        <f t="shared" si="67"/>
        <v>25282</v>
      </c>
      <c r="G62" s="26">
        <f t="shared" si="67"/>
        <v>30170</v>
      </c>
      <c r="H62" s="26">
        <f t="shared" si="67"/>
        <v>113550</v>
      </c>
      <c r="I62" s="81">
        <f t="shared" ref="I62:J62" si="68">D62+F62</f>
        <v>49810</v>
      </c>
      <c r="J62" s="81">
        <f t="shared" si="68"/>
        <v>63740</v>
      </c>
      <c r="K62" s="119">
        <f t="shared" si="17"/>
        <v>0.4386613827</v>
      </c>
      <c r="L62" s="119">
        <f t="shared" si="18"/>
        <v>0.5613386173</v>
      </c>
      <c r="M62" s="113">
        <f t="shared" si="19"/>
        <v>113550</v>
      </c>
    </row>
    <row r="63" ht="24.75" customHeight="1">
      <c r="A63" s="63" t="s">
        <v>73</v>
      </c>
      <c r="B63" s="64"/>
      <c r="C63" s="25"/>
      <c r="D63" s="122">
        <f t="shared" ref="D63:H63" si="69">D52+D62</f>
        <v>118818</v>
      </c>
      <c r="E63" s="122">
        <f t="shared" si="69"/>
        <v>150191</v>
      </c>
      <c r="F63" s="122">
        <f t="shared" si="69"/>
        <v>92728</v>
      </c>
      <c r="G63" s="122">
        <f t="shared" si="69"/>
        <v>130557</v>
      </c>
      <c r="H63" s="122">
        <f t="shared" si="69"/>
        <v>492294</v>
      </c>
      <c r="I63" s="101">
        <f t="shared" ref="I63:J63" si="70">D63+F63</f>
        <v>211546</v>
      </c>
      <c r="J63" s="101">
        <f t="shared" si="70"/>
        <v>280748</v>
      </c>
      <c r="K63" s="123">
        <f t="shared" si="17"/>
        <v>0.4297147639</v>
      </c>
      <c r="L63" s="123">
        <f t="shared" si="18"/>
        <v>0.5702852361</v>
      </c>
      <c r="M63" s="124">
        <f t="shared" si="19"/>
        <v>492294</v>
      </c>
    </row>
    <row r="64" ht="24.75" customHeight="1">
      <c r="A64" s="65" t="s">
        <v>88</v>
      </c>
      <c r="B64" s="64"/>
      <c r="C64" s="25"/>
      <c r="D64" s="39">
        <f t="shared" ref="D64:H64" si="71">D23+D63</f>
        <v>142292</v>
      </c>
      <c r="E64" s="39">
        <f t="shared" si="71"/>
        <v>168650</v>
      </c>
      <c r="F64" s="39">
        <f t="shared" si="71"/>
        <v>93678</v>
      </c>
      <c r="G64" s="39">
        <f t="shared" si="71"/>
        <v>132551</v>
      </c>
      <c r="H64" s="39">
        <f t="shared" si="71"/>
        <v>536932</v>
      </c>
      <c r="I64" s="81">
        <f t="shared" ref="I64:J64" si="72">D64+F64</f>
        <v>235970</v>
      </c>
      <c r="J64" s="81">
        <f t="shared" si="72"/>
        <v>301201</v>
      </c>
      <c r="K64" s="119">
        <f t="shared" si="17"/>
        <v>0.4394783697</v>
      </c>
      <c r="L64" s="119">
        <f t="shared" si="18"/>
        <v>0.5609667518</v>
      </c>
      <c r="M64" s="113">
        <f t="shared" si="19"/>
        <v>537171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A7:A22"/>
    <mergeCell ref="A23:C23"/>
    <mergeCell ref="A24:A61"/>
    <mergeCell ref="B52:C52"/>
    <mergeCell ref="B62:C62"/>
    <mergeCell ref="A63:C63"/>
    <mergeCell ref="A64:C64"/>
    <mergeCell ref="A5:A6"/>
    <mergeCell ref="B5:B6"/>
    <mergeCell ref="C5:C6"/>
    <mergeCell ref="D5:E5"/>
    <mergeCell ref="F5:G5"/>
    <mergeCell ref="H5:H6"/>
    <mergeCell ref="I5:L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3.86"/>
    <col customWidth="1" min="2" max="2" width="10.71"/>
    <col customWidth="1" min="3" max="3" width="39.57"/>
    <col customWidth="1" min="4" max="32" width="8.71"/>
  </cols>
  <sheetData>
    <row r="1" ht="23.25" customHeight="1">
      <c r="A1" s="66" t="s">
        <v>89</v>
      </c>
      <c r="B1" s="29"/>
    </row>
    <row r="2">
      <c r="A2" s="30" t="s">
        <v>114</v>
      </c>
      <c r="B2" s="29"/>
    </row>
    <row r="3">
      <c r="A3" s="31" t="s">
        <v>91</v>
      </c>
      <c r="B3" s="29"/>
    </row>
    <row r="5" ht="28.5" customHeight="1">
      <c r="A5" s="68" t="s">
        <v>78</v>
      </c>
      <c r="B5" s="68" t="s">
        <v>0</v>
      </c>
      <c r="C5" s="68" t="s">
        <v>1</v>
      </c>
      <c r="D5" s="65" t="s">
        <v>79</v>
      </c>
      <c r="E5" s="64"/>
      <c r="F5" s="64"/>
      <c r="G5" s="64"/>
      <c r="H5" s="64"/>
      <c r="I5" s="64"/>
      <c r="J5" s="64"/>
      <c r="K5" s="64"/>
      <c r="L5" s="25"/>
      <c r="M5" s="65" t="s">
        <v>80</v>
      </c>
      <c r="N5" s="64"/>
      <c r="O5" s="64"/>
      <c r="P5" s="64"/>
      <c r="Q5" s="64"/>
      <c r="R5" s="64"/>
      <c r="S5" s="64"/>
      <c r="T5" s="64"/>
      <c r="U5" s="25"/>
      <c r="V5" s="105" t="s">
        <v>106</v>
      </c>
      <c r="W5" s="106" t="s">
        <v>109</v>
      </c>
      <c r="X5" s="64"/>
      <c r="Y5" s="64"/>
      <c r="Z5" s="64"/>
      <c r="AA5" s="64"/>
      <c r="AB5" s="64"/>
      <c r="AC5" s="64"/>
      <c r="AD5" s="64"/>
      <c r="AE5" s="25"/>
      <c r="AF5" s="72"/>
    </row>
    <row r="6" ht="36.75" customHeight="1">
      <c r="A6" s="3"/>
      <c r="B6" s="3"/>
      <c r="C6" s="3"/>
      <c r="D6" s="12" t="s">
        <v>115</v>
      </c>
      <c r="E6" s="12" t="s">
        <v>116</v>
      </c>
      <c r="F6" s="12" t="s">
        <v>117</v>
      </c>
      <c r="G6" s="12" t="s">
        <v>118</v>
      </c>
      <c r="H6" s="12" t="s">
        <v>119</v>
      </c>
      <c r="I6" s="12" t="s">
        <v>120</v>
      </c>
      <c r="J6" s="12" t="s">
        <v>121</v>
      </c>
      <c r="K6" s="12" t="s">
        <v>122</v>
      </c>
      <c r="L6" s="12" t="s">
        <v>123</v>
      </c>
      <c r="M6" s="12" t="s">
        <v>115</v>
      </c>
      <c r="N6" s="12" t="s">
        <v>116</v>
      </c>
      <c r="O6" s="12" t="s">
        <v>117</v>
      </c>
      <c r="P6" s="12" t="s">
        <v>118</v>
      </c>
      <c r="Q6" s="12" t="s">
        <v>119</v>
      </c>
      <c r="R6" s="12" t="s">
        <v>120</v>
      </c>
      <c r="S6" s="12" t="s">
        <v>121</v>
      </c>
      <c r="T6" s="12" t="s">
        <v>122</v>
      </c>
      <c r="U6" s="12" t="s">
        <v>123</v>
      </c>
      <c r="V6" s="3"/>
      <c r="W6" s="12" t="s">
        <v>115</v>
      </c>
      <c r="X6" s="12" t="s">
        <v>116</v>
      </c>
      <c r="Y6" s="12" t="s">
        <v>117</v>
      </c>
      <c r="Z6" s="12" t="s">
        <v>118</v>
      </c>
      <c r="AA6" s="12" t="s">
        <v>119</v>
      </c>
      <c r="AB6" s="12" t="s">
        <v>120</v>
      </c>
      <c r="AC6" s="12" t="s">
        <v>121</v>
      </c>
      <c r="AD6" s="12" t="s">
        <v>122</v>
      </c>
      <c r="AE6" s="12" t="s">
        <v>123</v>
      </c>
      <c r="AF6" s="12" t="s">
        <v>124</v>
      </c>
    </row>
    <row r="7" ht="21.75" hidden="1" customHeight="1">
      <c r="A7" s="34" t="s">
        <v>84</v>
      </c>
      <c r="B7" s="4">
        <v>3003.0</v>
      </c>
      <c r="C7" s="5" t="s">
        <v>13</v>
      </c>
      <c r="D7" s="7">
        <v>9.0</v>
      </c>
      <c r="E7" s="7">
        <v>60.0</v>
      </c>
      <c r="F7" s="7">
        <v>1109.0</v>
      </c>
      <c r="G7" s="7">
        <v>12.0</v>
      </c>
      <c r="H7" s="7">
        <v>2.0</v>
      </c>
      <c r="I7" s="7">
        <v>132.0</v>
      </c>
      <c r="J7" s="7">
        <v>302.0</v>
      </c>
      <c r="K7" s="7">
        <v>35.0</v>
      </c>
      <c r="L7" s="7">
        <v>2.0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1032.0</v>
      </c>
      <c r="S7" s="7">
        <v>17.0</v>
      </c>
      <c r="T7" s="7">
        <v>94.0</v>
      </c>
      <c r="U7" s="7">
        <v>0.0</v>
      </c>
      <c r="V7" s="7">
        <f t="shared" ref="V7:V22" si="2">SUM(D7:U7)</f>
        <v>2806</v>
      </c>
      <c r="W7" s="77">
        <f t="shared" ref="W7:AE7" si="1">D7+M7</f>
        <v>9</v>
      </c>
      <c r="X7" s="77">
        <f t="shared" si="1"/>
        <v>60</v>
      </c>
      <c r="Y7" s="77">
        <f t="shared" si="1"/>
        <v>1109</v>
      </c>
      <c r="Z7" s="77">
        <f t="shared" si="1"/>
        <v>12</v>
      </c>
      <c r="AA7" s="77">
        <f t="shared" si="1"/>
        <v>2</v>
      </c>
      <c r="AB7" s="77">
        <f t="shared" si="1"/>
        <v>1164</v>
      </c>
      <c r="AC7" s="77">
        <f t="shared" si="1"/>
        <v>319</v>
      </c>
      <c r="AD7" s="77">
        <f t="shared" si="1"/>
        <v>129</v>
      </c>
      <c r="AE7" s="77">
        <f t="shared" si="1"/>
        <v>2</v>
      </c>
      <c r="AF7" s="77">
        <f t="shared" ref="AF7:AF64" si="4">SUM(W7:AE7)</f>
        <v>2806</v>
      </c>
    </row>
    <row r="8" ht="21.75" hidden="1" customHeight="1">
      <c r="A8" s="38"/>
      <c r="B8" s="4">
        <v>3005.0</v>
      </c>
      <c r="C8" s="5" t="s">
        <v>19</v>
      </c>
      <c r="D8" s="7">
        <v>2.0</v>
      </c>
      <c r="E8" s="7">
        <v>0.0</v>
      </c>
      <c r="F8" s="7">
        <v>74.0</v>
      </c>
      <c r="G8" s="7">
        <v>674.0</v>
      </c>
      <c r="H8" s="7">
        <v>1.0</v>
      </c>
      <c r="I8" s="7">
        <v>750.0</v>
      </c>
      <c r="J8" s="7">
        <v>1111.0</v>
      </c>
      <c r="K8" s="7">
        <v>386.0</v>
      </c>
      <c r="L8" s="7">
        <v>15.0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f t="shared" si="2"/>
        <v>3013</v>
      </c>
      <c r="W8" s="77">
        <f t="shared" ref="W8:AE8" si="3">D8+M8</f>
        <v>2</v>
      </c>
      <c r="X8" s="77">
        <f t="shared" si="3"/>
        <v>0</v>
      </c>
      <c r="Y8" s="77">
        <f t="shared" si="3"/>
        <v>74</v>
      </c>
      <c r="Z8" s="77">
        <f t="shared" si="3"/>
        <v>674</v>
      </c>
      <c r="AA8" s="77">
        <f t="shared" si="3"/>
        <v>1</v>
      </c>
      <c r="AB8" s="77">
        <f t="shared" si="3"/>
        <v>750</v>
      </c>
      <c r="AC8" s="77">
        <f t="shared" si="3"/>
        <v>1111</v>
      </c>
      <c r="AD8" s="77">
        <f t="shared" si="3"/>
        <v>386</v>
      </c>
      <c r="AE8" s="77">
        <f t="shared" si="3"/>
        <v>15</v>
      </c>
      <c r="AF8" s="77">
        <f t="shared" si="4"/>
        <v>3013</v>
      </c>
    </row>
    <row r="9" ht="21.75" hidden="1" customHeight="1">
      <c r="A9" s="38"/>
      <c r="B9" s="4">
        <v>3006.0</v>
      </c>
      <c r="C9" s="5" t="s">
        <v>20</v>
      </c>
      <c r="D9" s="7">
        <v>18.0</v>
      </c>
      <c r="E9" s="7">
        <v>25.0</v>
      </c>
      <c r="F9" s="7">
        <v>447.0</v>
      </c>
      <c r="G9" s="7">
        <v>0.0</v>
      </c>
      <c r="H9" s="7">
        <v>2.0</v>
      </c>
      <c r="I9" s="7">
        <v>197.0</v>
      </c>
      <c r="J9" s="7">
        <v>454.0</v>
      </c>
      <c r="K9" s="7">
        <v>390.0</v>
      </c>
      <c r="L9" s="7">
        <v>89.0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f t="shared" si="2"/>
        <v>1622</v>
      </c>
      <c r="W9" s="77">
        <f t="shared" ref="W9:AE9" si="5">D9+M9</f>
        <v>18</v>
      </c>
      <c r="X9" s="77">
        <f t="shared" si="5"/>
        <v>25</v>
      </c>
      <c r="Y9" s="77">
        <f t="shared" si="5"/>
        <v>447</v>
      </c>
      <c r="Z9" s="77">
        <f t="shared" si="5"/>
        <v>0</v>
      </c>
      <c r="AA9" s="77">
        <f t="shared" si="5"/>
        <v>2</v>
      </c>
      <c r="AB9" s="77">
        <f t="shared" si="5"/>
        <v>197</v>
      </c>
      <c r="AC9" s="77">
        <f t="shared" si="5"/>
        <v>454</v>
      </c>
      <c r="AD9" s="77">
        <f t="shared" si="5"/>
        <v>390</v>
      </c>
      <c r="AE9" s="77">
        <f t="shared" si="5"/>
        <v>89</v>
      </c>
      <c r="AF9" s="77">
        <f t="shared" si="4"/>
        <v>1622</v>
      </c>
    </row>
    <row r="10" ht="21.75" hidden="1" customHeight="1">
      <c r="A10" s="38"/>
      <c r="B10" s="4">
        <v>3012.0</v>
      </c>
      <c r="C10" s="5" t="s">
        <v>21</v>
      </c>
      <c r="D10" s="7">
        <v>20.0</v>
      </c>
      <c r="E10" s="7">
        <v>62.0</v>
      </c>
      <c r="F10" s="7">
        <v>906.0</v>
      </c>
      <c r="G10" s="7">
        <v>4.0</v>
      </c>
      <c r="H10" s="7">
        <v>211.0</v>
      </c>
      <c r="I10" s="7">
        <v>80.0</v>
      </c>
      <c r="J10" s="7">
        <v>18400.0</v>
      </c>
      <c r="K10" s="7">
        <v>4900.0</v>
      </c>
      <c r="L10" s="7">
        <v>784.0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717.0</v>
      </c>
      <c r="T10" s="7">
        <v>22.0</v>
      </c>
      <c r="U10" s="7">
        <v>0.0</v>
      </c>
      <c r="V10" s="7">
        <f t="shared" si="2"/>
        <v>26106</v>
      </c>
      <c r="W10" s="77">
        <f t="shared" ref="W10:AE10" si="6">D10+M10</f>
        <v>20</v>
      </c>
      <c r="X10" s="77">
        <f t="shared" si="6"/>
        <v>62</v>
      </c>
      <c r="Y10" s="77">
        <f t="shared" si="6"/>
        <v>906</v>
      </c>
      <c r="Z10" s="77">
        <f t="shared" si="6"/>
        <v>4</v>
      </c>
      <c r="AA10" s="77">
        <f t="shared" si="6"/>
        <v>211</v>
      </c>
      <c r="AB10" s="77">
        <f t="shared" si="6"/>
        <v>80</v>
      </c>
      <c r="AC10" s="77">
        <f t="shared" si="6"/>
        <v>19117</v>
      </c>
      <c r="AD10" s="77">
        <f t="shared" si="6"/>
        <v>4922</v>
      </c>
      <c r="AE10" s="77">
        <f t="shared" si="6"/>
        <v>784</v>
      </c>
      <c r="AF10" s="77">
        <f t="shared" si="4"/>
        <v>26106</v>
      </c>
    </row>
    <row r="11" ht="21.75" hidden="1" customHeight="1">
      <c r="A11" s="38"/>
      <c r="B11" s="4">
        <v>3023.0</v>
      </c>
      <c r="C11" s="5" t="s">
        <v>85</v>
      </c>
      <c r="D11" s="7">
        <v>0.0</v>
      </c>
      <c r="E11" s="7">
        <v>0.0</v>
      </c>
      <c r="F11" s="7">
        <v>3.0</v>
      </c>
      <c r="G11" s="7">
        <v>0.0</v>
      </c>
      <c r="H11" s="7">
        <v>0.0</v>
      </c>
      <c r="I11" s="7">
        <v>2.0</v>
      </c>
      <c r="J11" s="7">
        <v>22.0</v>
      </c>
      <c r="K11" s="7">
        <v>5.0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f t="shared" si="2"/>
        <v>32</v>
      </c>
      <c r="W11" s="77">
        <f t="shared" ref="W11:AE11" si="7">D11+M11</f>
        <v>0</v>
      </c>
      <c r="X11" s="77">
        <f t="shared" si="7"/>
        <v>0</v>
      </c>
      <c r="Y11" s="77">
        <f t="shared" si="7"/>
        <v>3</v>
      </c>
      <c r="Z11" s="77">
        <f t="shared" si="7"/>
        <v>0</v>
      </c>
      <c r="AA11" s="77">
        <f t="shared" si="7"/>
        <v>0</v>
      </c>
      <c r="AB11" s="77">
        <f t="shared" si="7"/>
        <v>2</v>
      </c>
      <c r="AC11" s="77">
        <f t="shared" si="7"/>
        <v>22</v>
      </c>
      <c r="AD11" s="77">
        <f t="shared" si="7"/>
        <v>5</v>
      </c>
      <c r="AE11" s="77">
        <f t="shared" si="7"/>
        <v>0</v>
      </c>
      <c r="AF11" s="77">
        <f t="shared" si="4"/>
        <v>32</v>
      </c>
    </row>
    <row r="12" ht="21.75" hidden="1" customHeight="1">
      <c r="A12" s="38"/>
      <c r="B12" s="4">
        <v>3024.0</v>
      </c>
      <c r="C12" s="5" t="s">
        <v>22</v>
      </c>
      <c r="D12" s="7">
        <v>6.0</v>
      </c>
      <c r="E12" s="7">
        <v>1.0</v>
      </c>
      <c r="F12" s="7">
        <v>1776.0</v>
      </c>
      <c r="G12" s="7">
        <v>2.0</v>
      </c>
      <c r="H12" s="7">
        <v>0.0</v>
      </c>
      <c r="I12" s="7">
        <v>100.0</v>
      </c>
      <c r="J12" s="7">
        <v>1386.0</v>
      </c>
      <c r="K12" s="7">
        <v>382.0</v>
      </c>
      <c r="L12" s="7">
        <v>4.0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f t="shared" si="2"/>
        <v>3657</v>
      </c>
      <c r="W12" s="77">
        <f t="shared" ref="W12:AE12" si="8">D12+M12</f>
        <v>6</v>
      </c>
      <c r="X12" s="77">
        <f t="shared" si="8"/>
        <v>1</v>
      </c>
      <c r="Y12" s="77">
        <f t="shared" si="8"/>
        <v>1776</v>
      </c>
      <c r="Z12" s="77">
        <f t="shared" si="8"/>
        <v>2</v>
      </c>
      <c r="AA12" s="77">
        <f t="shared" si="8"/>
        <v>0</v>
      </c>
      <c r="AB12" s="77">
        <f t="shared" si="8"/>
        <v>100</v>
      </c>
      <c r="AC12" s="77">
        <f t="shared" si="8"/>
        <v>1386</v>
      </c>
      <c r="AD12" s="77">
        <f t="shared" si="8"/>
        <v>382</v>
      </c>
      <c r="AE12" s="77">
        <f t="shared" si="8"/>
        <v>4</v>
      </c>
      <c r="AF12" s="77">
        <f t="shared" si="4"/>
        <v>3657</v>
      </c>
    </row>
    <row r="13" ht="21.75" hidden="1" customHeight="1">
      <c r="A13" s="38"/>
      <c r="B13" s="4">
        <v>3038.0</v>
      </c>
      <c r="C13" s="5" t="s">
        <v>23</v>
      </c>
      <c r="D13" s="7">
        <v>0.0</v>
      </c>
      <c r="E13" s="7">
        <v>0.0</v>
      </c>
      <c r="F13" s="7">
        <v>18.0</v>
      </c>
      <c r="G13" s="7">
        <v>0.0</v>
      </c>
      <c r="H13" s="7">
        <v>0.0</v>
      </c>
      <c r="I13" s="7">
        <v>6.0</v>
      </c>
      <c r="J13" s="7">
        <v>111.0</v>
      </c>
      <c r="K13" s="7">
        <v>64.0</v>
      </c>
      <c r="L13" s="7">
        <v>1.0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f t="shared" si="2"/>
        <v>200</v>
      </c>
      <c r="W13" s="77">
        <f t="shared" ref="W13:AE13" si="9">D13+M13</f>
        <v>0</v>
      </c>
      <c r="X13" s="77">
        <f t="shared" si="9"/>
        <v>0</v>
      </c>
      <c r="Y13" s="77">
        <f t="shared" si="9"/>
        <v>18</v>
      </c>
      <c r="Z13" s="77">
        <f t="shared" si="9"/>
        <v>0</v>
      </c>
      <c r="AA13" s="77">
        <f t="shared" si="9"/>
        <v>0</v>
      </c>
      <c r="AB13" s="77">
        <f t="shared" si="9"/>
        <v>6</v>
      </c>
      <c r="AC13" s="77">
        <f t="shared" si="9"/>
        <v>111</v>
      </c>
      <c r="AD13" s="77">
        <f t="shared" si="9"/>
        <v>64</v>
      </c>
      <c r="AE13" s="77">
        <f t="shared" si="9"/>
        <v>1</v>
      </c>
      <c r="AF13" s="77">
        <f t="shared" si="4"/>
        <v>200</v>
      </c>
    </row>
    <row r="14" ht="21.75" hidden="1" customHeight="1">
      <c r="A14" s="38"/>
      <c r="B14" s="4">
        <v>4002.0</v>
      </c>
      <c r="C14" s="5" t="s">
        <v>24</v>
      </c>
      <c r="D14" s="7">
        <v>0.0</v>
      </c>
      <c r="E14" s="7">
        <v>0.0</v>
      </c>
      <c r="F14" s="7">
        <v>10.0</v>
      </c>
      <c r="G14" s="7">
        <v>0.0</v>
      </c>
      <c r="H14" s="7">
        <v>0.0</v>
      </c>
      <c r="I14" s="7">
        <v>4.0</v>
      </c>
      <c r="J14" s="7">
        <v>32.0</v>
      </c>
      <c r="K14" s="7">
        <v>17.0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f t="shared" si="2"/>
        <v>63</v>
      </c>
      <c r="W14" s="77">
        <f t="shared" ref="W14:AE14" si="10">D14+M14</f>
        <v>0</v>
      </c>
      <c r="X14" s="77">
        <f t="shared" si="10"/>
        <v>0</v>
      </c>
      <c r="Y14" s="77">
        <f t="shared" si="10"/>
        <v>10</v>
      </c>
      <c r="Z14" s="77">
        <f t="shared" si="10"/>
        <v>0</v>
      </c>
      <c r="AA14" s="77">
        <f t="shared" si="10"/>
        <v>0</v>
      </c>
      <c r="AB14" s="77">
        <f t="shared" si="10"/>
        <v>4</v>
      </c>
      <c r="AC14" s="77">
        <f t="shared" si="10"/>
        <v>32</v>
      </c>
      <c r="AD14" s="77">
        <f t="shared" si="10"/>
        <v>17</v>
      </c>
      <c r="AE14" s="77">
        <f t="shared" si="10"/>
        <v>0</v>
      </c>
      <c r="AF14" s="77">
        <f t="shared" si="4"/>
        <v>63</v>
      </c>
    </row>
    <row r="15" ht="21.75" hidden="1" customHeight="1">
      <c r="A15" s="38"/>
      <c r="B15" s="4">
        <v>4007.0</v>
      </c>
      <c r="C15" s="5" t="s">
        <v>25</v>
      </c>
      <c r="D15" s="7">
        <v>3.0</v>
      </c>
      <c r="E15" s="7">
        <v>0.0</v>
      </c>
      <c r="F15" s="7">
        <v>161.0</v>
      </c>
      <c r="G15" s="7">
        <v>0.0</v>
      </c>
      <c r="H15" s="7">
        <v>0.0</v>
      </c>
      <c r="I15" s="7">
        <v>235.0</v>
      </c>
      <c r="J15" s="7">
        <v>1273.0</v>
      </c>
      <c r="K15" s="7">
        <v>650.0</v>
      </c>
      <c r="L15" s="7">
        <v>42.0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4.0</v>
      </c>
      <c r="T15" s="7">
        <v>0.0</v>
      </c>
      <c r="U15" s="7">
        <v>0.0</v>
      </c>
      <c r="V15" s="7">
        <f t="shared" si="2"/>
        <v>2368</v>
      </c>
      <c r="W15" s="77">
        <f t="shared" ref="W15:AE15" si="11">D15+M15</f>
        <v>3</v>
      </c>
      <c r="X15" s="77">
        <f t="shared" si="11"/>
        <v>0</v>
      </c>
      <c r="Y15" s="77">
        <f t="shared" si="11"/>
        <v>161</v>
      </c>
      <c r="Z15" s="77">
        <f t="shared" si="11"/>
        <v>0</v>
      </c>
      <c r="AA15" s="77">
        <f t="shared" si="11"/>
        <v>0</v>
      </c>
      <c r="AB15" s="77">
        <f t="shared" si="11"/>
        <v>235</v>
      </c>
      <c r="AC15" s="77">
        <f t="shared" si="11"/>
        <v>1277</v>
      </c>
      <c r="AD15" s="77">
        <f t="shared" si="11"/>
        <v>650</v>
      </c>
      <c r="AE15" s="77">
        <f t="shared" si="11"/>
        <v>42</v>
      </c>
      <c r="AF15" s="77">
        <f t="shared" si="4"/>
        <v>2368</v>
      </c>
    </row>
    <row r="16" ht="21.75" hidden="1" customHeight="1">
      <c r="A16" s="38"/>
      <c r="B16" s="4">
        <v>4008.0</v>
      </c>
      <c r="C16" s="5" t="s">
        <v>26</v>
      </c>
      <c r="D16" s="7">
        <v>0.0</v>
      </c>
      <c r="E16" s="7">
        <v>0.0</v>
      </c>
      <c r="F16" s="7">
        <v>6.0</v>
      </c>
      <c r="G16" s="7">
        <v>0.0</v>
      </c>
      <c r="H16" s="7">
        <v>0.0</v>
      </c>
      <c r="I16" s="7">
        <v>12.0</v>
      </c>
      <c r="J16" s="7">
        <v>116.0</v>
      </c>
      <c r="K16" s="7">
        <v>104.0</v>
      </c>
      <c r="L16" s="7">
        <v>1.0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f t="shared" si="2"/>
        <v>239</v>
      </c>
      <c r="W16" s="77">
        <f t="shared" ref="W16:AE16" si="12">D16+M16</f>
        <v>0</v>
      </c>
      <c r="X16" s="77">
        <f t="shared" si="12"/>
        <v>0</v>
      </c>
      <c r="Y16" s="77">
        <f t="shared" si="12"/>
        <v>6</v>
      </c>
      <c r="Z16" s="77">
        <f t="shared" si="12"/>
        <v>0</v>
      </c>
      <c r="AA16" s="77">
        <f t="shared" si="12"/>
        <v>0</v>
      </c>
      <c r="AB16" s="77">
        <f t="shared" si="12"/>
        <v>12</v>
      </c>
      <c r="AC16" s="77">
        <f t="shared" si="12"/>
        <v>116</v>
      </c>
      <c r="AD16" s="77">
        <f t="shared" si="12"/>
        <v>104</v>
      </c>
      <c r="AE16" s="77">
        <f t="shared" si="12"/>
        <v>1</v>
      </c>
      <c r="AF16" s="77">
        <f t="shared" si="4"/>
        <v>239</v>
      </c>
    </row>
    <row r="17" ht="21.75" hidden="1" customHeight="1">
      <c r="A17" s="38"/>
      <c r="B17" s="4">
        <v>4016.0</v>
      </c>
      <c r="C17" s="5" t="s">
        <v>27</v>
      </c>
      <c r="D17" s="7">
        <v>1.0</v>
      </c>
      <c r="E17" s="7">
        <v>2.0</v>
      </c>
      <c r="F17" s="7">
        <v>192.0</v>
      </c>
      <c r="G17" s="7">
        <v>7.0</v>
      </c>
      <c r="H17" s="7">
        <v>0.0</v>
      </c>
      <c r="I17" s="7">
        <v>152.0</v>
      </c>
      <c r="J17" s="7">
        <v>621.0</v>
      </c>
      <c r="K17" s="7">
        <v>301.0</v>
      </c>
      <c r="L17" s="7">
        <v>3.0</v>
      </c>
      <c r="M17" s="7">
        <v>0.0</v>
      </c>
      <c r="N17" s="7">
        <v>0.0</v>
      </c>
      <c r="O17" s="7">
        <v>1.0</v>
      </c>
      <c r="P17" s="7">
        <v>0.0</v>
      </c>
      <c r="Q17" s="7">
        <v>0.0</v>
      </c>
      <c r="R17" s="7">
        <v>4.0</v>
      </c>
      <c r="S17" s="7">
        <v>2.0</v>
      </c>
      <c r="T17" s="7">
        <v>0.0</v>
      </c>
      <c r="U17" s="7">
        <v>0.0</v>
      </c>
      <c r="V17" s="7">
        <f t="shared" si="2"/>
        <v>1286</v>
      </c>
      <c r="W17" s="77">
        <f t="shared" ref="W17:AE17" si="13">D17+M17</f>
        <v>1</v>
      </c>
      <c r="X17" s="77">
        <f t="shared" si="13"/>
        <v>2</v>
      </c>
      <c r="Y17" s="77">
        <f t="shared" si="13"/>
        <v>193</v>
      </c>
      <c r="Z17" s="77">
        <f t="shared" si="13"/>
        <v>7</v>
      </c>
      <c r="AA17" s="77">
        <f t="shared" si="13"/>
        <v>0</v>
      </c>
      <c r="AB17" s="77">
        <f t="shared" si="13"/>
        <v>156</v>
      </c>
      <c r="AC17" s="77">
        <f t="shared" si="13"/>
        <v>623</v>
      </c>
      <c r="AD17" s="77">
        <f t="shared" si="13"/>
        <v>301</v>
      </c>
      <c r="AE17" s="77">
        <f t="shared" si="13"/>
        <v>3</v>
      </c>
      <c r="AF17" s="77">
        <f t="shared" si="4"/>
        <v>1286</v>
      </c>
    </row>
    <row r="18" ht="21.75" hidden="1" customHeight="1">
      <c r="A18" s="38"/>
      <c r="B18" s="4">
        <v>4020.0</v>
      </c>
      <c r="C18" s="5" t="s">
        <v>28</v>
      </c>
      <c r="D18" s="7">
        <v>0.0</v>
      </c>
      <c r="E18" s="7">
        <v>0.0</v>
      </c>
      <c r="F18" s="7">
        <v>148.0</v>
      </c>
      <c r="G18" s="7">
        <v>5.0</v>
      </c>
      <c r="H18" s="7">
        <v>1.0</v>
      </c>
      <c r="I18" s="7">
        <v>47.0</v>
      </c>
      <c r="J18" s="7">
        <v>433.0</v>
      </c>
      <c r="K18" s="7">
        <v>60.0</v>
      </c>
      <c r="L18" s="7">
        <v>1.0</v>
      </c>
      <c r="M18" s="7">
        <v>1.0</v>
      </c>
      <c r="N18" s="7">
        <v>4.0</v>
      </c>
      <c r="O18" s="7">
        <v>45.0</v>
      </c>
      <c r="P18" s="7">
        <v>0.0</v>
      </c>
      <c r="Q18" s="7">
        <v>0.0</v>
      </c>
      <c r="R18" s="7">
        <v>282.0</v>
      </c>
      <c r="S18" s="7">
        <v>719.0</v>
      </c>
      <c r="T18" s="7">
        <v>0.0</v>
      </c>
      <c r="U18" s="7">
        <v>0.0</v>
      </c>
      <c r="V18" s="7">
        <f t="shared" si="2"/>
        <v>1746</v>
      </c>
      <c r="W18" s="77">
        <f t="shared" ref="W18:AE18" si="14">D18+M18</f>
        <v>1</v>
      </c>
      <c r="X18" s="77">
        <f t="shared" si="14"/>
        <v>4</v>
      </c>
      <c r="Y18" s="77">
        <f t="shared" si="14"/>
        <v>193</v>
      </c>
      <c r="Z18" s="77">
        <f t="shared" si="14"/>
        <v>5</v>
      </c>
      <c r="AA18" s="77">
        <f t="shared" si="14"/>
        <v>1</v>
      </c>
      <c r="AB18" s="77">
        <f t="shared" si="14"/>
        <v>329</v>
      </c>
      <c r="AC18" s="77">
        <f t="shared" si="14"/>
        <v>1152</v>
      </c>
      <c r="AD18" s="77">
        <f t="shared" si="14"/>
        <v>60</v>
      </c>
      <c r="AE18" s="77">
        <f t="shared" si="14"/>
        <v>1</v>
      </c>
      <c r="AF18" s="77">
        <f t="shared" si="4"/>
        <v>1746</v>
      </c>
    </row>
    <row r="19" ht="21.75" hidden="1" customHeight="1">
      <c r="A19" s="38"/>
      <c r="B19" s="4">
        <v>4023.0</v>
      </c>
      <c r="C19" s="5" t="s">
        <v>29</v>
      </c>
      <c r="D19" s="7">
        <v>0.0</v>
      </c>
      <c r="E19" s="7">
        <v>0.0</v>
      </c>
      <c r="F19" s="7">
        <v>20.0</v>
      </c>
      <c r="G19" s="7">
        <v>1.0</v>
      </c>
      <c r="H19" s="7">
        <v>0.0</v>
      </c>
      <c r="I19" s="7">
        <v>48.0</v>
      </c>
      <c r="J19" s="7">
        <v>109.0</v>
      </c>
      <c r="K19" s="7">
        <v>34.0</v>
      </c>
      <c r="L19" s="7">
        <v>1.0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f t="shared" si="2"/>
        <v>213</v>
      </c>
      <c r="W19" s="77">
        <f t="shared" ref="W19:AE19" si="15">D19+M19</f>
        <v>0</v>
      </c>
      <c r="X19" s="77">
        <f t="shared" si="15"/>
        <v>0</v>
      </c>
      <c r="Y19" s="77">
        <f t="shared" si="15"/>
        <v>20</v>
      </c>
      <c r="Z19" s="77">
        <f t="shared" si="15"/>
        <v>1</v>
      </c>
      <c r="AA19" s="77">
        <f t="shared" si="15"/>
        <v>0</v>
      </c>
      <c r="AB19" s="77">
        <f t="shared" si="15"/>
        <v>48</v>
      </c>
      <c r="AC19" s="77">
        <f t="shared" si="15"/>
        <v>109</v>
      </c>
      <c r="AD19" s="77">
        <f t="shared" si="15"/>
        <v>34</v>
      </c>
      <c r="AE19" s="77">
        <f t="shared" si="15"/>
        <v>1</v>
      </c>
      <c r="AF19" s="77">
        <f t="shared" si="4"/>
        <v>213</v>
      </c>
    </row>
    <row r="20" ht="21.75" hidden="1" customHeight="1">
      <c r="A20" s="38"/>
      <c r="B20" s="4">
        <v>4024.0</v>
      </c>
      <c r="C20" s="5" t="s">
        <v>30</v>
      </c>
      <c r="D20" s="7">
        <v>3.0</v>
      </c>
      <c r="E20" s="7">
        <v>1.0</v>
      </c>
      <c r="F20" s="7">
        <v>47.0</v>
      </c>
      <c r="G20" s="7">
        <v>8.0</v>
      </c>
      <c r="H20" s="7">
        <v>0.0</v>
      </c>
      <c r="I20" s="7">
        <v>12.0</v>
      </c>
      <c r="J20" s="7">
        <v>91.0</v>
      </c>
      <c r="K20" s="7">
        <v>43.0</v>
      </c>
      <c r="L20" s="7">
        <v>1.0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f t="shared" si="2"/>
        <v>206</v>
      </c>
      <c r="W20" s="77">
        <f t="shared" ref="W20:AE20" si="16">D20+M20</f>
        <v>3</v>
      </c>
      <c r="X20" s="77">
        <f t="shared" si="16"/>
        <v>1</v>
      </c>
      <c r="Y20" s="77">
        <f t="shared" si="16"/>
        <v>47</v>
      </c>
      <c r="Z20" s="77">
        <f t="shared" si="16"/>
        <v>8</v>
      </c>
      <c r="AA20" s="77">
        <f t="shared" si="16"/>
        <v>0</v>
      </c>
      <c r="AB20" s="77">
        <f t="shared" si="16"/>
        <v>12</v>
      </c>
      <c r="AC20" s="77">
        <f t="shared" si="16"/>
        <v>91</v>
      </c>
      <c r="AD20" s="77">
        <f t="shared" si="16"/>
        <v>43</v>
      </c>
      <c r="AE20" s="77">
        <f t="shared" si="16"/>
        <v>1</v>
      </c>
      <c r="AF20" s="77">
        <f t="shared" si="4"/>
        <v>206</v>
      </c>
    </row>
    <row r="21" ht="21.75" hidden="1" customHeight="1">
      <c r="A21" s="38"/>
      <c r="B21" s="4">
        <v>4033.0</v>
      </c>
      <c r="C21" s="5" t="s">
        <v>31</v>
      </c>
      <c r="D21" s="7">
        <v>8.0</v>
      </c>
      <c r="E21" s="7">
        <v>19.0</v>
      </c>
      <c r="F21" s="7">
        <v>550.0</v>
      </c>
      <c r="G21" s="7">
        <v>4.0</v>
      </c>
      <c r="H21" s="7">
        <v>0.0</v>
      </c>
      <c r="I21" s="7">
        <v>165.0</v>
      </c>
      <c r="J21" s="7">
        <v>127.0</v>
      </c>
      <c r="K21" s="7">
        <v>50.0</v>
      </c>
      <c r="L21" s="7">
        <v>2.0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f t="shared" si="2"/>
        <v>925</v>
      </c>
      <c r="W21" s="77">
        <f t="shared" ref="W21:AE21" si="17">D21+M21</f>
        <v>8</v>
      </c>
      <c r="X21" s="77">
        <f t="shared" si="17"/>
        <v>19</v>
      </c>
      <c r="Y21" s="77">
        <f t="shared" si="17"/>
        <v>550</v>
      </c>
      <c r="Z21" s="77">
        <f t="shared" si="17"/>
        <v>4</v>
      </c>
      <c r="AA21" s="77">
        <f t="shared" si="17"/>
        <v>0</v>
      </c>
      <c r="AB21" s="77">
        <f t="shared" si="17"/>
        <v>165</v>
      </c>
      <c r="AC21" s="77">
        <f t="shared" si="17"/>
        <v>127</v>
      </c>
      <c r="AD21" s="77">
        <f t="shared" si="17"/>
        <v>50</v>
      </c>
      <c r="AE21" s="77">
        <f t="shared" si="17"/>
        <v>2</v>
      </c>
      <c r="AF21" s="77">
        <f t="shared" si="4"/>
        <v>925</v>
      </c>
    </row>
    <row r="22" ht="21.75" hidden="1" customHeight="1">
      <c r="A22" s="3"/>
      <c r="B22" s="4">
        <v>4071.0</v>
      </c>
      <c r="C22" s="5" t="s">
        <v>32</v>
      </c>
      <c r="D22" s="7">
        <v>0.0</v>
      </c>
      <c r="E22" s="7">
        <v>3.0</v>
      </c>
      <c r="F22" s="7">
        <v>100.0</v>
      </c>
      <c r="G22" s="7">
        <v>0.0</v>
      </c>
      <c r="H22" s="7">
        <v>3.0</v>
      </c>
      <c r="I22" s="7">
        <v>81.0</v>
      </c>
      <c r="J22" s="7">
        <v>112.0</v>
      </c>
      <c r="K22" s="7">
        <v>90.0</v>
      </c>
      <c r="L22" s="7">
        <v>6.0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f t="shared" si="2"/>
        <v>395</v>
      </c>
      <c r="W22" s="77">
        <f t="shared" ref="W22:AE22" si="18">D22+M22</f>
        <v>0</v>
      </c>
      <c r="X22" s="77">
        <f t="shared" si="18"/>
        <v>3</v>
      </c>
      <c r="Y22" s="77">
        <f t="shared" si="18"/>
        <v>100</v>
      </c>
      <c r="Z22" s="77">
        <f t="shared" si="18"/>
        <v>0</v>
      </c>
      <c r="AA22" s="77">
        <f t="shared" si="18"/>
        <v>3</v>
      </c>
      <c r="AB22" s="77">
        <f t="shared" si="18"/>
        <v>81</v>
      </c>
      <c r="AC22" s="77">
        <f t="shared" si="18"/>
        <v>112</v>
      </c>
      <c r="AD22" s="77">
        <f t="shared" si="18"/>
        <v>90</v>
      </c>
      <c r="AE22" s="77">
        <f t="shared" si="18"/>
        <v>6</v>
      </c>
      <c r="AF22" s="77">
        <f t="shared" si="4"/>
        <v>395</v>
      </c>
    </row>
    <row r="23" ht="33.0" hidden="1" customHeight="1">
      <c r="A23" s="78" t="s">
        <v>86</v>
      </c>
      <c r="B23" s="64"/>
      <c r="C23" s="25"/>
      <c r="D23" s="39">
        <f t="shared" ref="D23:V23" si="19">SUM(D7:D22)</f>
        <v>70</v>
      </c>
      <c r="E23" s="39">
        <f t="shared" si="19"/>
        <v>173</v>
      </c>
      <c r="F23" s="39">
        <f t="shared" si="19"/>
        <v>5567</v>
      </c>
      <c r="G23" s="39">
        <f t="shared" si="19"/>
        <v>717</v>
      </c>
      <c r="H23" s="39">
        <f t="shared" si="19"/>
        <v>220</v>
      </c>
      <c r="I23" s="39">
        <f t="shared" si="19"/>
        <v>2023</v>
      </c>
      <c r="J23" s="39">
        <f t="shared" si="19"/>
        <v>24700</v>
      </c>
      <c r="K23" s="39">
        <f t="shared" si="19"/>
        <v>7511</v>
      </c>
      <c r="L23" s="39">
        <f t="shared" si="19"/>
        <v>952</v>
      </c>
      <c r="M23" s="39">
        <f t="shared" si="19"/>
        <v>1</v>
      </c>
      <c r="N23" s="39">
        <f t="shared" si="19"/>
        <v>4</v>
      </c>
      <c r="O23" s="39">
        <f t="shared" si="19"/>
        <v>46</v>
      </c>
      <c r="P23" s="39">
        <f t="shared" si="19"/>
        <v>0</v>
      </c>
      <c r="Q23" s="39">
        <f t="shared" si="19"/>
        <v>0</v>
      </c>
      <c r="R23" s="39">
        <f t="shared" si="19"/>
        <v>1318</v>
      </c>
      <c r="S23" s="39">
        <f t="shared" si="19"/>
        <v>1459</v>
      </c>
      <c r="T23" s="39">
        <f t="shared" si="19"/>
        <v>116</v>
      </c>
      <c r="U23" s="39">
        <f t="shared" si="19"/>
        <v>0</v>
      </c>
      <c r="V23" s="39">
        <f t="shared" si="19"/>
        <v>44877</v>
      </c>
      <c r="W23" s="111">
        <f t="shared" ref="W23:AE23" si="20">D23+M23</f>
        <v>71</v>
      </c>
      <c r="X23" s="111">
        <f t="shared" si="20"/>
        <v>177</v>
      </c>
      <c r="Y23" s="111">
        <f t="shared" si="20"/>
        <v>5613</v>
      </c>
      <c r="Z23" s="111">
        <f t="shared" si="20"/>
        <v>717</v>
      </c>
      <c r="AA23" s="111">
        <f t="shared" si="20"/>
        <v>220</v>
      </c>
      <c r="AB23" s="111">
        <f t="shared" si="20"/>
        <v>3341</v>
      </c>
      <c r="AC23" s="111">
        <f t="shared" si="20"/>
        <v>26159</v>
      </c>
      <c r="AD23" s="111">
        <f t="shared" si="20"/>
        <v>7627</v>
      </c>
      <c r="AE23" s="111">
        <f t="shared" si="20"/>
        <v>952</v>
      </c>
      <c r="AF23" s="111">
        <f t="shared" si="4"/>
        <v>44877</v>
      </c>
    </row>
    <row r="24" ht="21.75" customHeight="1">
      <c r="A24" s="34" t="s">
        <v>87</v>
      </c>
      <c r="B24" s="4">
        <v>6100.0</v>
      </c>
      <c r="C24" s="5" t="s">
        <v>33</v>
      </c>
      <c r="D24" s="7">
        <v>81.0</v>
      </c>
      <c r="E24" s="7">
        <v>174.0</v>
      </c>
      <c r="F24" s="7">
        <v>2038.0</v>
      </c>
      <c r="G24" s="7">
        <v>10.0</v>
      </c>
      <c r="H24" s="7">
        <v>25.0</v>
      </c>
      <c r="I24" s="7">
        <v>1384.0</v>
      </c>
      <c r="J24" s="7">
        <v>16968.0</v>
      </c>
      <c r="K24" s="7">
        <v>5931.0</v>
      </c>
      <c r="L24" s="7">
        <v>163.0</v>
      </c>
      <c r="M24" s="7">
        <v>0.0</v>
      </c>
      <c r="N24" s="7">
        <v>0.0</v>
      </c>
      <c r="O24" s="7">
        <v>897.0</v>
      </c>
      <c r="P24" s="7">
        <v>0.0</v>
      </c>
      <c r="Q24" s="7">
        <v>0.0</v>
      </c>
      <c r="R24" s="7">
        <v>1705.0</v>
      </c>
      <c r="S24" s="7">
        <v>22631.0</v>
      </c>
      <c r="T24" s="7">
        <v>465.0</v>
      </c>
      <c r="U24" s="7">
        <v>0.0</v>
      </c>
      <c r="V24" s="7">
        <f t="shared" ref="V24:V51" si="22">SUM(D24:U24)</f>
        <v>52472</v>
      </c>
      <c r="W24" s="77">
        <f t="shared" ref="W24:AE24" si="21">D24+M24</f>
        <v>81</v>
      </c>
      <c r="X24" s="77">
        <f t="shared" si="21"/>
        <v>174</v>
      </c>
      <c r="Y24" s="77">
        <f t="shared" si="21"/>
        <v>2935</v>
      </c>
      <c r="Z24" s="77">
        <f t="shared" si="21"/>
        <v>10</v>
      </c>
      <c r="AA24" s="77">
        <f t="shared" si="21"/>
        <v>25</v>
      </c>
      <c r="AB24" s="77">
        <f t="shared" si="21"/>
        <v>3089</v>
      </c>
      <c r="AC24" s="77">
        <f t="shared" si="21"/>
        <v>39599</v>
      </c>
      <c r="AD24" s="77">
        <f t="shared" si="21"/>
        <v>6396</v>
      </c>
      <c r="AE24" s="77">
        <f t="shared" si="21"/>
        <v>163</v>
      </c>
      <c r="AF24" s="77">
        <f t="shared" si="4"/>
        <v>52472</v>
      </c>
    </row>
    <row r="25" ht="21.75" customHeight="1">
      <c r="A25" s="38"/>
      <c r="B25" s="4">
        <v>6101.0</v>
      </c>
      <c r="C25" s="5" t="s">
        <v>34</v>
      </c>
      <c r="D25" s="7">
        <v>20.0</v>
      </c>
      <c r="E25" s="7">
        <v>64.0</v>
      </c>
      <c r="F25" s="7">
        <v>1161.0</v>
      </c>
      <c r="G25" s="7">
        <v>17.0</v>
      </c>
      <c r="H25" s="7">
        <v>48.0</v>
      </c>
      <c r="I25" s="7">
        <v>1403.0</v>
      </c>
      <c r="J25" s="7">
        <v>7240.0</v>
      </c>
      <c r="K25" s="7">
        <v>1917.0</v>
      </c>
      <c r="L25" s="7">
        <v>20.0</v>
      </c>
      <c r="M25" s="7">
        <v>29.0</v>
      </c>
      <c r="N25" s="7">
        <v>2.0</v>
      </c>
      <c r="O25" s="7">
        <v>751.0</v>
      </c>
      <c r="P25" s="7">
        <v>0.0</v>
      </c>
      <c r="Q25" s="7">
        <v>0.0</v>
      </c>
      <c r="R25" s="7">
        <v>1478.0</v>
      </c>
      <c r="S25" s="7">
        <v>11405.0</v>
      </c>
      <c r="T25" s="7">
        <v>307.0</v>
      </c>
      <c r="U25" s="7">
        <v>0.0</v>
      </c>
      <c r="V25" s="7">
        <f t="shared" si="22"/>
        <v>25862</v>
      </c>
      <c r="W25" s="77">
        <f t="shared" ref="W25:AE25" si="23">D25+M25</f>
        <v>49</v>
      </c>
      <c r="X25" s="77">
        <f t="shared" si="23"/>
        <v>66</v>
      </c>
      <c r="Y25" s="77">
        <f t="shared" si="23"/>
        <v>1912</v>
      </c>
      <c r="Z25" s="77">
        <f t="shared" si="23"/>
        <v>17</v>
      </c>
      <c r="AA25" s="77">
        <f t="shared" si="23"/>
        <v>48</v>
      </c>
      <c r="AB25" s="77">
        <f t="shared" si="23"/>
        <v>2881</v>
      </c>
      <c r="AC25" s="77">
        <f t="shared" si="23"/>
        <v>18645</v>
      </c>
      <c r="AD25" s="77">
        <f t="shared" si="23"/>
        <v>2224</v>
      </c>
      <c r="AE25" s="77">
        <f t="shared" si="23"/>
        <v>20</v>
      </c>
      <c r="AF25" s="77">
        <f t="shared" si="4"/>
        <v>25862</v>
      </c>
    </row>
    <row r="26" ht="21.75" customHeight="1">
      <c r="A26" s="38"/>
      <c r="B26" s="4">
        <v>6102.0</v>
      </c>
      <c r="C26" s="5" t="s">
        <v>35</v>
      </c>
      <c r="D26" s="7">
        <v>39.0</v>
      </c>
      <c r="E26" s="7">
        <v>61.0</v>
      </c>
      <c r="F26" s="7">
        <v>734.0</v>
      </c>
      <c r="G26" s="7">
        <v>8.0</v>
      </c>
      <c r="H26" s="7">
        <v>75.0</v>
      </c>
      <c r="I26" s="7">
        <v>795.0</v>
      </c>
      <c r="J26" s="7">
        <v>5102.0</v>
      </c>
      <c r="K26" s="7">
        <v>1110.0</v>
      </c>
      <c r="L26" s="7">
        <v>13.0</v>
      </c>
      <c r="M26" s="7">
        <v>0.0</v>
      </c>
      <c r="N26" s="7">
        <v>1.0</v>
      </c>
      <c r="O26" s="7">
        <v>119.0</v>
      </c>
      <c r="P26" s="7">
        <v>0.0</v>
      </c>
      <c r="Q26" s="7">
        <v>0.0</v>
      </c>
      <c r="R26" s="7">
        <v>483.0</v>
      </c>
      <c r="S26" s="7">
        <v>4371.0</v>
      </c>
      <c r="T26" s="7">
        <v>160.0</v>
      </c>
      <c r="U26" s="7">
        <v>0.0</v>
      </c>
      <c r="V26" s="7">
        <f t="shared" si="22"/>
        <v>13071</v>
      </c>
      <c r="W26" s="77">
        <f t="shared" ref="W26:AE26" si="24">D26+M26</f>
        <v>39</v>
      </c>
      <c r="X26" s="77">
        <f t="shared" si="24"/>
        <v>62</v>
      </c>
      <c r="Y26" s="77">
        <f t="shared" si="24"/>
        <v>853</v>
      </c>
      <c r="Z26" s="77">
        <f t="shared" si="24"/>
        <v>8</v>
      </c>
      <c r="AA26" s="77">
        <f t="shared" si="24"/>
        <v>75</v>
      </c>
      <c r="AB26" s="77">
        <f t="shared" si="24"/>
        <v>1278</v>
      </c>
      <c r="AC26" s="77">
        <f t="shared" si="24"/>
        <v>9473</v>
      </c>
      <c r="AD26" s="77">
        <f t="shared" si="24"/>
        <v>1270</v>
      </c>
      <c r="AE26" s="77">
        <f t="shared" si="24"/>
        <v>13</v>
      </c>
      <c r="AF26" s="77">
        <f t="shared" si="4"/>
        <v>13071</v>
      </c>
    </row>
    <row r="27" ht="21.75" customHeight="1">
      <c r="A27" s="38"/>
      <c r="B27" s="4">
        <v>6103.0</v>
      </c>
      <c r="C27" s="5" t="s">
        <v>36</v>
      </c>
      <c r="D27" s="7">
        <v>17.0</v>
      </c>
      <c r="E27" s="7">
        <v>34.0</v>
      </c>
      <c r="F27" s="7">
        <v>372.0</v>
      </c>
      <c r="G27" s="7">
        <v>7.0</v>
      </c>
      <c r="H27" s="7">
        <v>72.0</v>
      </c>
      <c r="I27" s="7">
        <v>585.0</v>
      </c>
      <c r="J27" s="7">
        <v>5183.0</v>
      </c>
      <c r="K27" s="7">
        <v>1033.0</v>
      </c>
      <c r="L27" s="7">
        <v>9.0</v>
      </c>
      <c r="M27" s="7">
        <v>0.0</v>
      </c>
      <c r="N27" s="7">
        <v>0.0</v>
      </c>
      <c r="O27" s="7">
        <v>273.0</v>
      </c>
      <c r="P27" s="7">
        <v>0.0</v>
      </c>
      <c r="Q27" s="7">
        <v>2.0</v>
      </c>
      <c r="R27" s="7">
        <v>705.0</v>
      </c>
      <c r="S27" s="7">
        <v>6993.0</v>
      </c>
      <c r="T27" s="7">
        <v>167.0</v>
      </c>
      <c r="U27" s="7">
        <v>0.0</v>
      </c>
      <c r="V27" s="7">
        <f t="shared" si="22"/>
        <v>15452</v>
      </c>
      <c r="W27" s="77">
        <f t="shared" ref="W27:AE27" si="25">D27+M27</f>
        <v>17</v>
      </c>
      <c r="X27" s="77">
        <f t="shared" si="25"/>
        <v>34</v>
      </c>
      <c r="Y27" s="77">
        <f t="shared" si="25"/>
        <v>645</v>
      </c>
      <c r="Z27" s="77">
        <f t="shared" si="25"/>
        <v>7</v>
      </c>
      <c r="AA27" s="77">
        <f t="shared" si="25"/>
        <v>74</v>
      </c>
      <c r="AB27" s="77">
        <f t="shared" si="25"/>
        <v>1290</v>
      </c>
      <c r="AC27" s="77">
        <f t="shared" si="25"/>
        <v>12176</v>
      </c>
      <c r="AD27" s="77">
        <f t="shared" si="25"/>
        <v>1200</v>
      </c>
      <c r="AE27" s="77">
        <f t="shared" si="25"/>
        <v>9</v>
      </c>
      <c r="AF27" s="77">
        <f t="shared" si="4"/>
        <v>15452</v>
      </c>
    </row>
    <row r="28" ht="21.75" customHeight="1">
      <c r="A28" s="38"/>
      <c r="B28" s="4">
        <v>6104.0</v>
      </c>
      <c r="C28" s="5" t="s">
        <v>37</v>
      </c>
      <c r="D28" s="7">
        <v>59.0</v>
      </c>
      <c r="E28" s="7">
        <v>58.0</v>
      </c>
      <c r="F28" s="7">
        <v>498.0</v>
      </c>
      <c r="G28" s="7">
        <v>3.0</v>
      </c>
      <c r="H28" s="7">
        <v>63.0</v>
      </c>
      <c r="I28" s="7">
        <v>556.0</v>
      </c>
      <c r="J28" s="7">
        <v>6309.0</v>
      </c>
      <c r="K28" s="7">
        <v>1483.0</v>
      </c>
      <c r="L28" s="7">
        <v>16.0</v>
      </c>
      <c r="M28" s="7">
        <v>455.0</v>
      </c>
      <c r="N28" s="7">
        <v>447.0</v>
      </c>
      <c r="O28" s="7">
        <v>3135.0</v>
      </c>
      <c r="P28" s="7">
        <v>0.0</v>
      </c>
      <c r="Q28" s="7">
        <v>0.0</v>
      </c>
      <c r="R28" s="7">
        <v>836.0</v>
      </c>
      <c r="S28" s="7">
        <v>8443.0</v>
      </c>
      <c r="T28" s="7">
        <v>98.0</v>
      </c>
      <c r="U28" s="7">
        <v>0.0</v>
      </c>
      <c r="V28" s="7">
        <f t="shared" si="22"/>
        <v>22459</v>
      </c>
      <c r="W28" s="77">
        <f t="shared" ref="W28:AE28" si="26">D28+M28</f>
        <v>514</v>
      </c>
      <c r="X28" s="77">
        <f t="shared" si="26"/>
        <v>505</v>
      </c>
      <c r="Y28" s="77">
        <f t="shared" si="26"/>
        <v>3633</v>
      </c>
      <c r="Z28" s="77">
        <f t="shared" si="26"/>
        <v>3</v>
      </c>
      <c r="AA28" s="77">
        <f t="shared" si="26"/>
        <v>63</v>
      </c>
      <c r="AB28" s="77">
        <f t="shared" si="26"/>
        <v>1392</v>
      </c>
      <c r="AC28" s="77">
        <f t="shared" si="26"/>
        <v>14752</v>
      </c>
      <c r="AD28" s="77">
        <f t="shared" si="26"/>
        <v>1581</v>
      </c>
      <c r="AE28" s="77">
        <f t="shared" si="26"/>
        <v>16</v>
      </c>
      <c r="AF28" s="77">
        <f t="shared" si="4"/>
        <v>22459</v>
      </c>
    </row>
    <row r="29" ht="21.75" customHeight="1">
      <c r="A29" s="38"/>
      <c r="B29" s="4">
        <v>6105.0</v>
      </c>
      <c r="C29" s="5" t="s">
        <v>39</v>
      </c>
      <c r="D29" s="7">
        <v>8.0</v>
      </c>
      <c r="E29" s="7">
        <v>38.0</v>
      </c>
      <c r="F29" s="7">
        <v>619.0</v>
      </c>
      <c r="G29" s="7">
        <v>11.0</v>
      </c>
      <c r="H29" s="7">
        <v>79.0</v>
      </c>
      <c r="I29" s="7">
        <v>961.0</v>
      </c>
      <c r="J29" s="7">
        <v>5105.0</v>
      </c>
      <c r="K29" s="7">
        <v>849.0</v>
      </c>
      <c r="L29" s="7">
        <v>9.0</v>
      </c>
      <c r="M29" s="7">
        <v>8.0</v>
      </c>
      <c r="N29" s="7">
        <v>17.0</v>
      </c>
      <c r="O29" s="7">
        <v>172.0</v>
      </c>
      <c r="P29" s="7">
        <v>0.0</v>
      </c>
      <c r="Q29" s="7">
        <v>0.0</v>
      </c>
      <c r="R29" s="7">
        <v>971.0</v>
      </c>
      <c r="S29" s="7">
        <v>4399.0</v>
      </c>
      <c r="T29" s="7">
        <v>174.0</v>
      </c>
      <c r="U29" s="7">
        <v>0.0</v>
      </c>
      <c r="V29" s="7">
        <f t="shared" si="22"/>
        <v>13420</v>
      </c>
      <c r="W29" s="77">
        <f t="shared" ref="W29:AE29" si="27">D29+M29</f>
        <v>16</v>
      </c>
      <c r="X29" s="77">
        <f t="shared" si="27"/>
        <v>55</v>
      </c>
      <c r="Y29" s="77">
        <f t="shared" si="27"/>
        <v>791</v>
      </c>
      <c r="Z29" s="77">
        <f t="shared" si="27"/>
        <v>11</v>
      </c>
      <c r="AA29" s="77">
        <f t="shared" si="27"/>
        <v>79</v>
      </c>
      <c r="AB29" s="77">
        <f t="shared" si="27"/>
        <v>1932</v>
      </c>
      <c r="AC29" s="77">
        <f t="shared" si="27"/>
        <v>9504</v>
      </c>
      <c r="AD29" s="77">
        <f t="shared" si="27"/>
        <v>1023</v>
      </c>
      <c r="AE29" s="77">
        <f t="shared" si="27"/>
        <v>9</v>
      </c>
      <c r="AF29" s="77">
        <f t="shared" si="4"/>
        <v>13420</v>
      </c>
    </row>
    <row r="30" ht="21.75" customHeight="1">
      <c r="A30" s="38"/>
      <c r="B30" s="4">
        <v>6106.0</v>
      </c>
      <c r="C30" s="5" t="s">
        <v>40</v>
      </c>
      <c r="D30" s="7">
        <v>42.0</v>
      </c>
      <c r="E30" s="7">
        <v>63.0</v>
      </c>
      <c r="F30" s="7">
        <v>786.0</v>
      </c>
      <c r="G30" s="7">
        <v>16.0</v>
      </c>
      <c r="H30" s="7">
        <v>56.0</v>
      </c>
      <c r="I30" s="7">
        <v>583.0</v>
      </c>
      <c r="J30" s="7">
        <v>3589.0</v>
      </c>
      <c r="K30" s="7">
        <v>596.0</v>
      </c>
      <c r="L30" s="7">
        <v>8.0</v>
      </c>
      <c r="M30" s="7">
        <v>11.0</v>
      </c>
      <c r="N30" s="7">
        <v>0.0</v>
      </c>
      <c r="O30" s="7">
        <v>105.0</v>
      </c>
      <c r="P30" s="7">
        <v>0.0</v>
      </c>
      <c r="Q30" s="7">
        <v>1.0</v>
      </c>
      <c r="R30" s="7">
        <v>377.0</v>
      </c>
      <c r="S30" s="7">
        <v>1707.0</v>
      </c>
      <c r="T30" s="7">
        <v>67.0</v>
      </c>
      <c r="U30" s="7">
        <v>0.0</v>
      </c>
      <c r="V30" s="7">
        <f t="shared" si="22"/>
        <v>8007</v>
      </c>
      <c r="W30" s="77">
        <f t="shared" ref="W30:AE30" si="28">D30+M30</f>
        <v>53</v>
      </c>
      <c r="X30" s="77">
        <f t="shared" si="28"/>
        <v>63</v>
      </c>
      <c r="Y30" s="77">
        <f t="shared" si="28"/>
        <v>891</v>
      </c>
      <c r="Z30" s="77">
        <f t="shared" si="28"/>
        <v>16</v>
      </c>
      <c r="AA30" s="77">
        <f t="shared" si="28"/>
        <v>57</v>
      </c>
      <c r="AB30" s="77">
        <f t="shared" si="28"/>
        <v>960</v>
      </c>
      <c r="AC30" s="77">
        <f t="shared" si="28"/>
        <v>5296</v>
      </c>
      <c r="AD30" s="77">
        <f t="shared" si="28"/>
        <v>663</v>
      </c>
      <c r="AE30" s="77">
        <f t="shared" si="28"/>
        <v>8</v>
      </c>
      <c r="AF30" s="77">
        <f t="shared" si="4"/>
        <v>8007</v>
      </c>
    </row>
    <row r="31" ht="21.75" customHeight="1">
      <c r="A31" s="38"/>
      <c r="B31" s="4">
        <v>6107.0</v>
      </c>
      <c r="C31" s="5" t="s">
        <v>41</v>
      </c>
      <c r="D31" s="7">
        <v>26.0</v>
      </c>
      <c r="E31" s="7">
        <v>16.0</v>
      </c>
      <c r="F31" s="7">
        <v>713.0</v>
      </c>
      <c r="G31" s="7">
        <v>8.0</v>
      </c>
      <c r="H31" s="7">
        <v>52.0</v>
      </c>
      <c r="I31" s="7">
        <v>621.0</v>
      </c>
      <c r="J31" s="7">
        <v>5734.0</v>
      </c>
      <c r="K31" s="7">
        <v>952.0</v>
      </c>
      <c r="L31" s="7">
        <v>7.0</v>
      </c>
      <c r="M31" s="7">
        <v>3.0</v>
      </c>
      <c r="N31" s="7">
        <v>3.0</v>
      </c>
      <c r="O31" s="7">
        <v>126.0</v>
      </c>
      <c r="P31" s="7">
        <v>0.0</v>
      </c>
      <c r="Q31" s="7">
        <v>0.0</v>
      </c>
      <c r="R31" s="7">
        <v>328.0</v>
      </c>
      <c r="S31" s="7">
        <v>3589.0</v>
      </c>
      <c r="T31" s="7">
        <v>55.0</v>
      </c>
      <c r="U31" s="7">
        <v>0.0</v>
      </c>
      <c r="V31" s="7">
        <f t="shared" si="22"/>
        <v>12233</v>
      </c>
      <c r="W31" s="77">
        <f t="shared" ref="W31:AE31" si="29">D31+M31</f>
        <v>29</v>
      </c>
      <c r="X31" s="77">
        <f t="shared" si="29"/>
        <v>19</v>
      </c>
      <c r="Y31" s="77">
        <f t="shared" si="29"/>
        <v>839</v>
      </c>
      <c r="Z31" s="77">
        <f t="shared" si="29"/>
        <v>8</v>
      </c>
      <c r="AA31" s="77">
        <f t="shared" si="29"/>
        <v>52</v>
      </c>
      <c r="AB31" s="77">
        <f t="shared" si="29"/>
        <v>949</v>
      </c>
      <c r="AC31" s="77">
        <f t="shared" si="29"/>
        <v>9323</v>
      </c>
      <c r="AD31" s="77">
        <f t="shared" si="29"/>
        <v>1007</v>
      </c>
      <c r="AE31" s="77">
        <f t="shared" si="29"/>
        <v>7</v>
      </c>
      <c r="AF31" s="77">
        <f t="shared" si="4"/>
        <v>12233</v>
      </c>
    </row>
    <row r="32" ht="21.75" customHeight="1">
      <c r="A32" s="38"/>
      <c r="B32" s="4">
        <v>6108.0</v>
      </c>
      <c r="C32" s="5" t="s">
        <v>42</v>
      </c>
      <c r="D32" s="7">
        <v>73.0</v>
      </c>
      <c r="E32" s="7">
        <v>122.0</v>
      </c>
      <c r="F32" s="7">
        <v>1130.0</v>
      </c>
      <c r="G32" s="7">
        <v>17.0</v>
      </c>
      <c r="H32" s="7">
        <v>236.0</v>
      </c>
      <c r="I32" s="7">
        <v>1339.0</v>
      </c>
      <c r="J32" s="7">
        <v>6188.0</v>
      </c>
      <c r="K32" s="7">
        <v>1168.0</v>
      </c>
      <c r="L32" s="7">
        <v>20.0</v>
      </c>
      <c r="M32" s="7">
        <v>23.0</v>
      </c>
      <c r="N32" s="7">
        <v>0.0</v>
      </c>
      <c r="O32" s="7">
        <v>139.0</v>
      </c>
      <c r="P32" s="7">
        <v>0.0</v>
      </c>
      <c r="Q32" s="7">
        <v>4.0</v>
      </c>
      <c r="R32" s="7">
        <v>628.0</v>
      </c>
      <c r="S32" s="7">
        <v>7922.0</v>
      </c>
      <c r="T32" s="7">
        <v>149.0</v>
      </c>
      <c r="U32" s="7">
        <v>0.0</v>
      </c>
      <c r="V32" s="7">
        <f t="shared" si="22"/>
        <v>19158</v>
      </c>
      <c r="W32" s="77">
        <f t="shared" ref="W32:AE32" si="30">D32+M32</f>
        <v>96</v>
      </c>
      <c r="X32" s="77">
        <f t="shared" si="30"/>
        <v>122</v>
      </c>
      <c r="Y32" s="77">
        <f t="shared" si="30"/>
        <v>1269</v>
      </c>
      <c r="Z32" s="77">
        <f t="shared" si="30"/>
        <v>17</v>
      </c>
      <c r="AA32" s="77">
        <f t="shared" si="30"/>
        <v>240</v>
      </c>
      <c r="AB32" s="77">
        <f t="shared" si="30"/>
        <v>1967</v>
      </c>
      <c r="AC32" s="77">
        <f t="shared" si="30"/>
        <v>14110</v>
      </c>
      <c r="AD32" s="77">
        <f t="shared" si="30"/>
        <v>1317</v>
      </c>
      <c r="AE32" s="77">
        <f t="shared" si="30"/>
        <v>20</v>
      </c>
      <c r="AF32" s="77">
        <f t="shared" si="4"/>
        <v>19158</v>
      </c>
    </row>
    <row r="33" ht="21.75" customHeight="1">
      <c r="A33" s="38"/>
      <c r="B33" s="4">
        <v>6109.0</v>
      </c>
      <c r="C33" s="5" t="s">
        <v>43</v>
      </c>
      <c r="D33" s="7">
        <v>13.0</v>
      </c>
      <c r="E33" s="7">
        <v>55.0</v>
      </c>
      <c r="F33" s="7">
        <v>569.0</v>
      </c>
      <c r="G33" s="7">
        <v>5.0</v>
      </c>
      <c r="H33" s="7">
        <v>31.0</v>
      </c>
      <c r="I33" s="7">
        <v>598.0</v>
      </c>
      <c r="J33" s="7">
        <v>4515.0</v>
      </c>
      <c r="K33" s="7">
        <v>736.0</v>
      </c>
      <c r="L33" s="7">
        <v>11.0</v>
      </c>
      <c r="M33" s="7">
        <v>2.0</v>
      </c>
      <c r="N33" s="7">
        <v>0.0</v>
      </c>
      <c r="O33" s="7">
        <v>53.0</v>
      </c>
      <c r="P33" s="7">
        <v>0.0</v>
      </c>
      <c r="Q33" s="7">
        <v>0.0</v>
      </c>
      <c r="R33" s="7">
        <v>379.0</v>
      </c>
      <c r="S33" s="7">
        <v>2933.0</v>
      </c>
      <c r="T33" s="7">
        <v>70.0</v>
      </c>
      <c r="U33" s="7">
        <v>0.0</v>
      </c>
      <c r="V33" s="7">
        <f t="shared" si="22"/>
        <v>9970</v>
      </c>
      <c r="W33" s="77">
        <f t="shared" ref="W33:AE33" si="31">D33+M33</f>
        <v>15</v>
      </c>
      <c r="X33" s="77">
        <f t="shared" si="31"/>
        <v>55</v>
      </c>
      <c r="Y33" s="77">
        <f t="shared" si="31"/>
        <v>622</v>
      </c>
      <c r="Z33" s="77">
        <f t="shared" si="31"/>
        <v>5</v>
      </c>
      <c r="AA33" s="77">
        <f t="shared" si="31"/>
        <v>31</v>
      </c>
      <c r="AB33" s="77">
        <f t="shared" si="31"/>
        <v>977</v>
      </c>
      <c r="AC33" s="77">
        <f t="shared" si="31"/>
        <v>7448</v>
      </c>
      <c r="AD33" s="77">
        <f t="shared" si="31"/>
        <v>806</v>
      </c>
      <c r="AE33" s="77">
        <f t="shared" si="31"/>
        <v>11</v>
      </c>
      <c r="AF33" s="77">
        <f t="shared" si="4"/>
        <v>9970</v>
      </c>
    </row>
    <row r="34" ht="21.75" customHeight="1">
      <c r="A34" s="38"/>
      <c r="B34" s="4">
        <v>6110.0</v>
      </c>
      <c r="C34" s="5" t="s">
        <v>44</v>
      </c>
      <c r="D34" s="7">
        <v>27.0</v>
      </c>
      <c r="E34" s="7">
        <v>59.0</v>
      </c>
      <c r="F34" s="7">
        <v>855.0</v>
      </c>
      <c r="G34" s="7">
        <v>3.0</v>
      </c>
      <c r="H34" s="7">
        <v>84.0</v>
      </c>
      <c r="I34" s="7">
        <v>672.0</v>
      </c>
      <c r="J34" s="7">
        <v>7229.0</v>
      </c>
      <c r="K34" s="7">
        <v>1231.0</v>
      </c>
      <c r="L34" s="7">
        <v>15.0</v>
      </c>
      <c r="M34" s="7">
        <v>43.0</v>
      </c>
      <c r="N34" s="7">
        <v>28.0</v>
      </c>
      <c r="O34" s="7">
        <v>615.0</v>
      </c>
      <c r="P34" s="7">
        <v>0.0</v>
      </c>
      <c r="Q34" s="7">
        <v>2.0</v>
      </c>
      <c r="R34" s="7">
        <v>2029.0</v>
      </c>
      <c r="S34" s="7">
        <v>7069.0</v>
      </c>
      <c r="T34" s="7">
        <v>193.0</v>
      </c>
      <c r="U34" s="7">
        <v>0.0</v>
      </c>
      <c r="V34" s="7">
        <f t="shared" si="22"/>
        <v>20154</v>
      </c>
      <c r="W34" s="77">
        <f t="shared" ref="W34:AE34" si="32">D34+M34</f>
        <v>70</v>
      </c>
      <c r="X34" s="77">
        <f t="shared" si="32"/>
        <v>87</v>
      </c>
      <c r="Y34" s="77">
        <f t="shared" si="32"/>
        <v>1470</v>
      </c>
      <c r="Z34" s="77">
        <f t="shared" si="32"/>
        <v>3</v>
      </c>
      <c r="AA34" s="77">
        <f t="shared" si="32"/>
        <v>86</v>
      </c>
      <c r="AB34" s="77">
        <f t="shared" si="32"/>
        <v>2701</v>
      </c>
      <c r="AC34" s="77">
        <f t="shared" si="32"/>
        <v>14298</v>
      </c>
      <c r="AD34" s="77">
        <f t="shared" si="32"/>
        <v>1424</v>
      </c>
      <c r="AE34" s="77">
        <f t="shared" si="32"/>
        <v>15</v>
      </c>
      <c r="AF34" s="77">
        <f t="shared" si="4"/>
        <v>20154</v>
      </c>
    </row>
    <row r="35" ht="21.75" customHeight="1">
      <c r="A35" s="38"/>
      <c r="B35" s="4">
        <v>6111.0</v>
      </c>
      <c r="C35" s="44" t="s">
        <v>45</v>
      </c>
      <c r="D35" s="83">
        <v>8.0</v>
      </c>
      <c r="E35" s="83">
        <v>14.0</v>
      </c>
      <c r="F35" s="83">
        <v>261.0</v>
      </c>
      <c r="G35" s="83">
        <v>1.0</v>
      </c>
      <c r="H35" s="83">
        <v>22.0</v>
      </c>
      <c r="I35" s="83">
        <v>601.0</v>
      </c>
      <c r="J35" s="83">
        <v>5683.0</v>
      </c>
      <c r="K35" s="83">
        <v>968.0</v>
      </c>
      <c r="L35" s="83">
        <v>9.0</v>
      </c>
      <c r="M35" s="83">
        <v>4.0</v>
      </c>
      <c r="N35" s="83">
        <v>3.0</v>
      </c>
      <c r="O35" s="83">
        <v>81.0</v>
      </c>
      <c r="P35" s="83">
        <v>0.0</v>
      </c>
      <c r="Q35" s="83">
        <v>0.0</v>
      </c>
      <c r="R35" s="83">
        <v>844.0</v>
      </c>
      <c r="S35" s="83">
        <v>3731.0</v>
      </c>
      <c r="T35" s="83">
        <v>181.0</v>
      </c>
      <c r="U35" s="83">
        <v>0.0</v>
      </c>
      <c r="V35" s="83">
        <f t="shared" si="22"/>
        <v>12411</v>
      </c>
      <c r="W35" s="85">
        <f t="shared" ref="W35:AE35" si="33">D35+M35</f>
        <v>12</v>
      </c>
      <c r="X35" s="85">
        <f t="shared" si="33"/>
        <v>17</v>
      </c>
      <c r="Y35" s="85">
        <f t="shared" si="33"/>
        <v>342</v>
      </c>
      <c r="Z35" s="85">
        <f t="shared" si="33"/>
        <v>1</v>
      </c>
      <c r="AA35" s="85">
        <f t="shared" si="33"/>
        <v>22</v>
      </c>
      <c r="AB35" s="85">
        <f t="shared" si="33"/>
        <v>1445</v>
      </c>
      <c r="AC35" s="85">
        <f t="shared" si="33"/>
        <v>9414</v>
      </c>
      <c r="AD35" s="85">
        <f t="shared" si="33"/>
        <v>1149</v>
      </c>
      <c r="AE35" s="85">
        <f t="shared" si="33"/>
        <v>9</v>
      </c>
      <c r="AF35" s="85">
        <f t="shared" si="4"/>
        <v>12411</v>
      </c>
    </row>
    <row r="36" ht="21.75" customHeight="1">
      <c r="A36" s="38"/>
      <c r="B36" s="4">
        <v>6112.0</v>
      </c>
      <c r="C36" s="44" t="s">
        <v>46</v>
      </c>
      <c r="D36" s="83">
        <v>11.0</v>
      </c>
      <c r="E36" s="83">
        <v>37.0</v>
      </c>
      <c r="F36" s="83">
        <v>448.0</v>
      </c>
      <c r="G36" s="83">
        <v>4.0</v>
      </c>
      <c r="H36" s="83">
        <v>58.0</v>
      </c>
      <c r="I36" s="83">
        <v>638.0</v>
      </c>
      <c r="J36" s="83">
        <v>3987.0</v>
      </c>
      <c r="K36" s="83">
        <v>651.0</v>
      </c>
      <c r="L36" s="83">
        <v>16.0</v>
      </c>
      <c r="M36" s="83">
        <v>1.0</v>
      </c>
      <c r="N36" s="83">
        <v>0.0</v>
      </c>
      <c r="O36" s="83">
        <v>106.0</v>
      </c>
      <c r="P36" s="83">
        <v>0.0</v>
      </c>
      <c r="Q36" s="83">
        <v>0.0</v>
      </c>
      <c r="R36" s="83">
        <v>416.0</v>
      </c>
      <c r="S36" s="83">
        <v>3356.0</v>
      </c>
      <c r="T36" s="83">
        <v>143.0</v>
      </c>
      <c r="U36" s="83">
        <v>0.0</v>
      </c>
      <c r="V36" s="83">
        <f t="shared" si="22"/>
        <v>9872</v>
      </c>
      <c r="W36" s="85">
        <f t="shared" ref="W36:AE36" si="34">D36+M36</f>
        <v>12</v>
      </c>
      <c r="X36" s="85">
        <f t="shared" si="34"/>
        <v>37</v>
      </c>
      <c r="Y36" s="85">
        <f t="shared" si="34"/>
        <v>554</v>
      </c>
      <c r="Z36" s="85">
        <f t="shared" si="34"/>
        <v>4</v>
      </c>
      <c r="AA36" s="85">
        <f t="shared" si="34"/>
        <v>58</v>
      </c>
      <c r="AB36" s="85">
        <f t="shared" si="34"/>
        <v>1054</v>
      </c>
      <c r="AC36" s="85">
        <f t="shared" si="34"/>
        <v>7343</v>
      </c>
      <c r="AD36" s="85">
        <f t="shared" si="34"/>
        <v>794</v>
      </c>
      <c r="AE36" s="85">
        <f t="shared" si="34"/>
        <v>16</v>
      </c>
      <c r="AF36" s="85">
        <f t="shared" si="4"/>
        <v>9872</v>
      </c>
    </row>
    <row r="37" ht="21.75" customHeight="1">
      <c r="A37" s="38"/>
      <c r="B37" s="4">
        <v>6113.0</v>
      </c>
      <c r="C37" s="44" t="s">
        <v>47</v>
      </c>
      <c r="D37" s="83">
        <v>11.0</v>
      </c>
      <c r="E37" s="83">
        <v>26.0</v>
      </c>
      <c r="F37" s="83">
        <v>574.0</v>
      </c>
      <c r="G37" s="83">
        <v>6.0</v>
      </c>
      <c r="H37" s="83">
        <v>73.0</v>
      </c>
      <c r="I37" s="83">
        <v>745.0</v>
      </c>
      <c r="J37" s="83">
        <v>6012.0</v>
      </c>
      <c r="K37" s="83">
        <v>735.0</v>
      </c>
      <c r="L37" s="83">
        <v>13.0</v>
      </c>
      <c r="M37" s="83">
        <v>102.0</v>
      </c>
      <c r="N37" s="83">
        <v>259.0</v>
      </c>
      <c r="O37" s="83">
        <v>1062.0</v>
      </c>
      <c r="P37" s="83">
        <v>0.0</v>
      </c>
      <c r="Q37" s="83">
        <v>1.0</v>
      </c>
      <c r="R37" s="83">
        <v>1858.0</v>
      </c>
      <c r="S37" s="83">
        <v>6727.0</v>
      </c>
      <c r="T37" s="83">
        <v>269.0</v>
      </c>
      <c r="U37" s="83">
        <v>0.0</v>
      </c>
      <c r="V37" s="83">
        <f t="shared" si="22"/>
        <v>18473</v>
      </c>
      <c r="W37" s="85">
        <f t="shared" ref="W37:AE37" si="35">D37+M37</f>
        <v>113</v>
      </c>
      <c r="X37" s="85">
        <f t="shared" si="35"/>
        <v>285</v>
      </c>
      <c r="Y37" s="85">
        <f t="shared" si="35"/>
        <v>1636</v>
      </c>
      <c r="Z37" s="85">
        <f t="shared" si="35"/>
        <v>6</v>
      </c>
      <c r="AA37" s="85">
        <f t="shared" si="35"/>
        <v>74</v>
      </c>
      <c r="AB37" s="85">
        <f t="shared" si="35"/>
        <v>2603</v>
      </c>
      <c r="AC37" s="85">
        <f t="shared" si="35"/>
        <v>12739</v>
      </c>
      <c r="AD37" s="85">
        <f t="shared" si="35"/>
        <v>1004</v>
      </c>
      <c r="AE37" s="85">
        <f t="shared" si="35"/>
        <v>13</v>
      </c>
      <c r="AF37" s="85">
        <f t="shared" si="4"/>
        <v>18473</v>
      </c>
    </row>
    <row r="38" ht="21.75" customHeight="1">
      <c r="A38" s="38"/>
      <c r="B38" s="4">
        <v>6114.0</v>
      </c>
      <c r="C38" s="44" t="s">
        <v>48</v>
      </c>
      <c r="D38" s="83">
        <v>11.0</v>
      </c>
      <c r="E38" s="83">
        <v>20.0</v>
      </c>
      <c r="F38" s="83">
        <v>714.0</v>
      </c>
      <c r="G38" s="83">
        <v>1.0</v>
      </c>
      <c r="H38" s="83">
        <v>33.0</v>
      </c>
      <c r="I38" s="83">
        <v>613.0</v>
      </c>
      <c r="J38" s="83">
        <v>5386.0</v>
      </c>
      <c r="K38" s="83">
        <v>872.0</v>
      </c>
      <c r="L38" s="83">
        <v>11.0</v>
      </c>
      <c r="M38" s="83">
        <v>19.0</v>
      </c>
      <c r="N38" s="83">
        <v>29.0</v>
      </c>
      <c r="O38" s="83">
        <v>416.0</v>
      </c>
      <c r="P38" s="83">
        <v>0.0</v>
      </c>
      <c r="Q38" s="83">
        <v>10.0</v>
      </c>
      <c r="R38" s="83">
        <v>138.0</v>
      </c>
      <c r="S38" s="83">
        <v>3036.0</v>
      </c>
      <c r="T38" s="83">
        <v>42.0</v>
      </c>
      <c r="U38" s="83">
        <v>0.0</v>
      </c>
      <c r="V38" s="83">
        <f t="shared" si="22"/>
        <v>11351</v>
      </c>
      <c r="W38" s="85">
        <f t="shared" ref="W38:AE38" si="36">D38+M38</f>
        <v>30</v>
      </c>
      <c r="X38" s="85">
        <f t="shared" si="36"/>
        <v>49</v>
      </c>
      <c r="Y38" s="85">
        <f t="shared" si="36"/>
        <v>1130</v>
      </c>
      <c r="Z38" s="85">
        <f t="shared" si="36"/>
        <v>1</v>
      </c>
      <c r="AA38" s="85">
        <f t="shared" si="36"/>
        <v>43</v>
      </c>
      <c r="AB38" s="85">
        <f t="shared" si="36"/>
        <v>751</v>
      </c>
      <c r="AC38" s="85">
        <f t="shared" si="36"/>
        <v>8422</v>
      </c>
      <c r="AD38" s="85">
        <f t="shared" si="36"/>
        <v>914</v>
      </c>
      <c r="AE38" s="85">
        <f t="shared" si="36"/>
        <v>11</v>
      </c>
      <c r="AF38" s="85">
        <f t="shared" si="4"/>
        <v>11351</v>
      </c>
    </row>
    <row r="39" ht="21.75" customHeight="1">
      <c r="A39" s="38"/>
      <c r="B39" s="4">
        <v>6115.0</v>
      </c>
      <c r="C39" s="44" t="s">
        <v>49</v>
      </c>
      <c r="D39" s="83">
        <v>21.0</v>
      </c>
      <c r="E39" s="83">
        <v>35.0</v>
      </c>
      <c r="F39" s="83">
        <v>949.0</v>
      </c>
      <c r="G39" s="83">
        <v>12.0</v>
      </c>
      <c r="H39" s="83">
        <v>57.0</v>
      </c>
      <c r="I39" s="83">
        <v>639.0</v>
      </c>
      <c r="J39" s="83">
        <v>5643.0</v>
      </c>
      <c r="K39" s="83">
        <v>776.0</v>
      </c>
      <c r="L39" s="83">
        <v>13.0</v>
      </c>
      <c r="M39" s="83">
        <v>2.0</v>
      </c>
      <c r="N39" s="83">
        <v>0.0</v>
      </c>
      <c r="O39" s="83">
        <v>95.0</v>
      </c>
      <c r="P39" s="83">
        <v>0.0</v>
      </c>
      <c r="Q39" s="83">
        <v>0.0</v>
      </c>
      <c r="R39" s="83">
        <v>316.0</v>
      </c>
      <c r="S39" s="83">
        <v>3117.0</v>
      </c>
      <c r="T39" s="83">
        <v>65.0</v>
      </c>
      <c r="U39" s="83">
        <v>0.0</v>
      </c>
      <c r="V39" s="83">
        <f t="shared" si="22"/>
        <v>11740</v>
      </c>
      <c r="W39" s="85">
        <f t="shared" ref="W39:AE39" si="37">D39+M39</f>
        <v>23</v>
      </c>
      <c r="X39" s="85">
        <f t="shared" si="37"/>
        <v>35</v>
      </c>
      <c r="Y39" s="85">
        <f t="shared" si="37"/>
        <v>1044</v>
      </c>
      <c r="Z39" s="85">
        <f t="shared" si="37"/>
        <v>12</v>
      </c>
      <c r="AA39" s="85">
        <f t="shared" si="37"/>
        <v>57</v>
      </c>
      <c r="AB39" s="85">
        <f t="shared" si="37"/>
        <v>955</v>
      </c>
      <c r="AC39" s="85">
        <f t="shared" si="37"/>
        <v>8760</v>
      </c>
      <c r="AD39" s="85">
        <f t="shared" si="37"/>
        <v>841</v>
      </c>
      <c r="AE39" s="85">
        <f t="shared" si="37"/>
        <v>13</v>
      </c>
      <c r="AF39" s="85">
        <f t="shared" si="4"/>
        <v>11740</v>
      </c>
    </row>
    <row r="40" ht="21.75" customHeight="1">
      <c r="A40" s="38"/>
      <c r="B40" s="4">
        <v>6116.0</v>
      </c>
      <c r="C40" s="5" t="s">
        <v>50</v>
      </c>
      <c r="D40" s="7">
        <v>14.0</v>
      </c>
      <c r="E40" s="7">
        <v>26.0</v>
      </c>
      <c r="F40" s="7">
        <v>551.0</v>
      </c>
      <c r="G40" s="7">
        <v>7.0</v>
      </c>
      <c r="H40" s="7">
        <v>26.0</v>
      </c>
      <c r="I40" s="7">
        <v>1264.0</v>
      </c>
      <c r="J40" s="7">
        <v>5371.0</v>
      </c>
      <c r="K40" s="7">
        <v>653.0</v>
      </c>
      <c r="L40" s="7">
        <v>11.0</v>
      </c>
      <c r="M40" s="7">
        <v>1.0</v>
      </c>
      <c r="N40" s="7">
        <v>1.0</v>
      </c>
      <c r="O40" s="7">
        <v>218.0</v>
      </c>
      <c r="P40" s="7">
        <v>0.0</v>
      </c>
      <c r="Q40" s="7">
        <v>0.0</v>
      </c>
      <c r="R40" s="7">
        <v>142.0</v>
      </c>
      <c r="S40" s="7">
        <v>3790.0</v>
      </c>
      <c r="T40" s="7">
        <v>13.0</v>
      </c>
      <c r="U40" s="7">
        <v>0.0</v>
      </c>
      <c r="V40" s="7">
        <f t="shared" si="22"/>
        <v>12088</v>
      </c>
      <c r="W40" s="77">
        <f t="shared" ref="W40:AE40" si="38">D40+M40</f>
        <v>15</v>
      </c>
      <c r="X40" s="77">
        <f t="shared" si="38"/>
        <v>27</v>
      </c>
      <c r="Y40" s="77">
        <f t="shared" si="38"/>
        <v>769</v>
      </c>
      <c r="Z40" s="77">
        <f t="shared" si="38"/>
        <v>7</v>
      </c>
      <c r="AA40" s="77">
        <f t="shared" si="38"/>
        <v>26</v>
      </c>
      <c r="AB40" s="77">
        <f t="shared" si="38"/>
        <v>1406</v>
      </c>
      <c r="AC40" s="77">
        <f t="shared" si="38"/>
        <v>9161</v>
      </c>
      <c r="AD40" s="77">
        <f t="shared" si="38"/>
        <v>666</v>
      </c>
      <c r="AE40" s="77">
        <f t="shared" si="38"/>
        <v>11</v>
      </c>
      <c r="AF40" s="77">
        <f t="shared" si="4"/>
        <v>12088</v>
      </c>
    </row>
    <row r="41" ht="21.75" customHeight="1">
      <c r="A41" s="38"/>
      <c r="B41" s="87">
        <v>6117.0</v>
      </c>
      <c r="C41" s="88" t="s">
        <v>51</v>
      </c>
      <c r="D41" s="90">
        <v>23.0</v>
      </c>
      <c r="E41" s="90">
        <v>21.0</v>
      </c>
      <c r="F41" s="90">
        <v>279.0</v>
      </c>
      <c r="G41" s="90">
        <v>7.0</v>
      </c>
      <c r="H41" s="90">
        <v>43.0</v>
      </c>
      <c r="I41" s="90">
        <v>401.0</v>
      </c>
      <c r="J41" s="90">
        <v>3462.0</v>
      </c>
      <c r="K41" s="90">
        <v>851.0</v>
      </c>
      <c r="L41" s="90">
        <v>13.0</v>
      </c>
      <c r="M41" s="90">
        <v>2.0</v>
      </c>
      <c r="N41" s="90">
        <v>6.0</v>
      </c>
      <c r="O41" s="90">
        <v>287.0</v>
      </c>
      <c r="P41" s="90">
        <v>0.0</v>
      </c>
      <c r="Q41" s="90">
        <v>0.0</v>
      </c>
      <c r="R41" s="90">
        <v>212.0</v>
      </c>
      <c r="S41" s="90">
        <v>2808.0</v>
      </c>
      <c r="T41" s="90">
        <v>58.0</v>
      </c>
      <c r="U41" s="90">
        <v>0.0</v>
      </c>
      <c r="V41" s="90">
        <f t="shared" si="22"/>
        <v>8473</v>
      </c>
      <c r="W41" s="92">
        <f t="shared" ref="W41:AE41" si="39">D41+M41</f>
        <v>25</v>
      </c>
      <c r="X41" s="92">
        <f t="shared" si="39"/>
        <v>27</v>
      </c>
      <c r="Y41" s="92">
        <f t="shared" si="39"/>
        <v>566</v>
      </c>
      <c r="Z41" s="92">
        <f t="shared" si="39"/>
        <v>7</v>
      </c>
      <c r="AA41" s="92">
        <f t="shared" si="39"/>
        <v>43</v>
      </c>
      <c r="AB41" s="92">
        <f t="shared" si="39"/>
        <v>613</v>
      </c>
      <c r="AC41" s="92">
        <f t="shared" si="39"/>
        <v>6270</v>
      </c>
      <c r="AD41" s="92">
        <f t="shared" si="39"/>
        <v>909</v>
      </c>
      <c r="AE41" s="92">
        <f t="shared" si="39"/>
        <v>13</v>
      </c>
      <c r="AF41" s="92">
        <f t="shared" si="4"/>
        <v>8473</v>
      </c>
    </row>
    <row r="42" ht="21.75" customHeight="1">
      <c r="A42" s="38"/>
      <c r="B42" s="4">
        <v>6118.0</v>
      </c>
      <c r="C42" s="5" t="s">
        <v>52</v>
      </c>
      <c r="D42" s="7">
        <v>8.0</v>
      </c>
      <c r="E42" s="7">
        <v>3.0</v>
      </c>
      <c r="F42" s="7">
        <v>96.0</v>
      </c>
      <c r="G42" s="7">
        <v>5.0</v>
      </c>
      <c r="H42" s="7">
        <v>14.0</v>
      </c>
      <c r="I42" s="7">
        <v>596.0</v>
      </c>
      <c r="J42" s="7">
        <v>1801.0</v>
      </c>
      <c r="K42" s="7">
        <v>307.0</v>
      </c>
      <c r="L42" s="7">
        <v>6.0</v>
      </c>
      <c r="M42" s="7">
        <v>1.0</v>
      </c>
      <c r="N42" s="7">
        <v>0.0</v>
      </c>
      <c r="O42" s="7">
        <v>15.0</v>
      </c>
      <c r="P42" s="7">
        <v>0.0</v>
      </c>
      <c r="Q42" s="7">
        <v>0.0</v>
      </c>
      <c r="R42" s="7">
        <v>183.0</v>
      </c>
      <c r="S42" s="7">
        <v>1579.0</v>
      </c>
      <c r="T42" s="7">
        <v>62.0</v>
      </c>
      <c r="U42" s="7">
        <v>0.0</v>
      </c>
      <c r="V42" s="7">
        <f t="shared" si="22"/>
        <v>4676</v>
      </c>
      <c r="W42" s="77">
        <f t="shared" ref="W42:AE42" si="40">D42+M42</f>
        <v>9</v>
      </c>
      <c r="X42" s="77">
        <f t="shared" si="40"/>
        <v>3</v>
      </c>
      <c r="Y42" s="77">
        <f t="shared" si="40"/>
        <v>111</v>
      </c>
      <c r="Z42" s="77">
        <f t="shared" si="40"/>
        <v>5</v>
      </c>
      <c r="AA42" s="77">
        <f t="shared" si="40"/>
        <v>14</v>
      </c>
      <c r="AB42" s="77">
        <f t="shared" si="40"/>
        <v>779</v>
      </c>
      <c r="AC42" s="77">
        <f t="shared" si="40"/>
        <v>3380</v>
      </c>
      <c r="AD42" s="77">
        <f t="shared" si="40"/>
        <v>369</v>
      </c>
      <c r="AE42" s="77">
        <f t="shared" si="40"/>
        <v>6</v>
      </c>
      <c r="AF42" s="77">
        <f t="shared" si="4"/>
        <v>4676</v>
      </c>
    </row>
    <row r="43" ht="21.75" customHeight="1">
      <c r="A43" s="38"/>
      <c r="B43" s="4">
        <v>6171.0</v>
      </c>
      <c r="C43" s="5" t="s">
        <v>53</v>
      </c>
      <c r="D43" s="7">
        <v>19.0</v>
      </c>
      <c r="E43" s="7">
        <v>76.0</v>
      </c>
      <c r="F43" s="7">
        <v>952.0</v>
      </c>
      <c r="G43" s="7">
        <v>9.0</v>
      </c>
      <c r="H43" s="7">
        <v>37.0</v>
      </c>
      <c r="I43" s="7">
        <v>720.0</v>
      </c>
      <c r="J43" s="7">
        <v>6658.0</v>
      </c>
      <c r="K43" s="7">
        <v>1686.0</v>
      </c>
      <c r="L43" s="7">
        <v>39.0</v>
      </c>
      <c r="M43" s="7">
        <v>0.0</v>
      </c>
      <c r="N43" s="7">
        <v>0.0</v>
      </c>
      <c r="O43" s="7">
        <v>143.0</v>
      </c>
      <c r="P43" s="7">
        <v>0.0</v>
      </c>
      <c r="Q43" s="7">
        <v>0.0</v>
      </c>
      <c r="R43" s="7">
        <v>915.0</v>
      </c>
      <c r="S43" s="7">
        <v>4501.0</v>
      </c>
      <c r="T43" s="7">
        <v>271.0</v>
      </c>
      <c r="U43" s="7">
        <v>0.0</v>
      </c>
      <c r="V43" s="7">
        <f t="shared" si="22"/>
        <v>16026</v>
      </c>
      <c r="W43" s="77">
        <f t="shared" ref="W43:AE43" si="41">D43+M43</f>
        <v>19</v>
      </c>
      <c r="X43" s="77">
        <f t="shared" si="41"/>
        <v>76</v>
      </c>
      <c r="Y43" s="77">
        <f t="shared" si="41"/>
        <v>1095</v>
      </c>
      <c r="Z43" s="77">
        <f t="shared" si="41"/>
        <v>9</v>
      </c>
      <c r="AA43" s="77">
        <f t="shared" si="41"/>
        <v>37</v>
      </c>
      <c r="AB43" s="77">
        <f t="shared" si="41"/>
        <v>1635</v>
      </c>
      <c r="AC43" s="77">
        <f t="shared" si="41"/>
        <v>11159</v>
      </c>
      <c r="AD43" s="77">
        <f t="shared" si="41"/>
        <v>1957</v>
      </c>
      <c r="AE43" s="77">
        <f t="shared" si="41"/>
        <v>39</v>
      </c>
      <c r="AF43" s="77">
        <f t="shared" si="4"/>
        <v>16026</v>
      </c>
    </row>
    <row r="44" ht="21.75" customHeight="1">
      <c r="A44" s="38"/>
      <c r="B44" s="4">
        <v>6172.0</v>
      </c>
      <c r="C44" s="5" t="s">
        <v>54</v>
      </c>
      <c r="D44" s="7">
        <v>88.0</v>
      </c>
      <c r="E44" s="7">
        <v>86.0</v>
      </c>
      <c r="F44" s="7">
        <v>869.0</v>
      </c>
      <c r="G44" s="7">
        <v>4.0</v>
      </c>
      <c r="H44" s="7">
        <v>37.0</v>
      </c>
      <c r="I44" s="7">
        <v>556.0</v>
      </c>
      <c r="J44" s="7">
        <v>2938.0</v>
      </c>
      <c r="K44" s="7">
        <v>832.0</v>
      </c>
      <c r="L44" s="7">
        <v>9.0</v>
      </c>
      <c r="M44" s="7">
        <v>6.0</v>
      </c>
      <c r="N44" s="7">
        <v>0.0</v>
      </c>
      <c r="O44" s="7">
        <v>83.0</v>
      </c>
      <c r="P44" s="7">
        <v>0.0</v>
      </c>
      <c r="Q44" s="7">
        <v>0.0</v>
      </c>
      <c r="R44" s="7">
        <v>156.0</v>
      </c>
      <c r="S44" s="7">
        <v>2148.0</v>
      </c>
      <c r="T44" s="7">
        <v>23.0</v>
      </c>
      <c r="U44" s="7">
        <v>0.0</v>
      </c>
      <c r="V44" s="7">
        <f t="shared" si="22"/>
        <v>7835</v>
      </c>
      <c r="W44" s="77">
        <f t="shared" ref="W44:AE44" si="42">D44+M44</f>
        <v>94</v>
      </c>
      <c r="X44" s="77">
        <f t="shared" si="42"/>
        <v>86</v>
      </c>
      <c r="Y44" s="77">
        <f t="shared" si="42"/>
        <v>952</v>
      </c>
      <c r="Z44" s="77">
        <f t="shared" si="42"/>
        <v>4</v>
      </c>
      <c r="AA44" s="77">
        <f t="shared" si="42"/>
        <v>37</v>
      </c>
      <c r="AB44" s="77">
        <f t="shared" si="42"/>
        <v>712</v>
      </c>
      <c r="AC44" s="77">
        <f t="shared" si="42"/>
        <v>5086</v>
      </c>
      <c r="AD44" s="77">
        <f t="shared" si="42"/>
        <v>855</v>
      </c>
      <c r="AE44" s="77">
        <f t="shared" si="42"/>
        <v>9</v>
      </c>
      <c r="AF44" s="77">
        <f t="shared" si="4"/>
        <v>7835</v>
      </c>
    </row>
    <row r="45" ht="21.75" customHeight="1">
      <c r="A45" s="38"/>
      <c r="B45" s="4">
        <v>6173.0</v>
      </c>
      <c r="C45" s="5" t="s">
        <v>55</v>
      </c>
      <c r="D45" s="7">
        <v>27.0</v>
      </c>
      <c r="E45" s="7">
        <v>26.0</v>
      </c>
      <c r="F45" s="7">
        <v>220.0</v>
      </c>
      <c r="G45" s="7">
        <v>2.0</v>
      </c>
      <c r="H45" s="7">
        <v>12.0</v>
      </c>
      <c r="I45" s="7">
        <v>338.0</v>
      </c>
      <c r="J45" s="7">
        <v>1587.0</v>
      </c>
      <c r="K45" s="7">
        <v>567.0</v>
      </c>
      <c r="L45" s="7">
        <v>7.0</v>
      </c>
      <c r="M45" s="7">
        <v>0.0</v>
      </c>
      <c r="N45" s="7">
        <v>0.0</v>
      </c>
      <c r="O45" s="7">
        <v>11.0</v>
      </c>
      <c r="P45" s="7">
        <v>0.0</v>
      </c>
      <c r="Q45" s="7">
        <v>0.0</v>
      </c>
      <c r="R45" s="7">
        <v>87.0</v>
      </c>
      <c r="S45" s="7">
        <v>727.0</v>
      </c>
      <c r="T45" s="7">
        <v>31.0</v>
      </c>
      <c r="U45" s="7">
        <v>0.0</v>
      </c>
      <c r="V45" s="7">
        <f t="shared" si="22"/>
        <v>3642</v>
      </c>
      <c r="W45" s="77">
        <f t="shared" ref="W45:AE45" si="43">D45+M45</f>
        <v>27</v>
      </c>
      <c r="X45" s="77">
        <f t="shared" si="43"/>
        <v>26</v>
      </c>
      <c r="Y45" s="77">
        <f t="shared" si="43"/>
        <v>231</v>
      </c>
      <c r="Z45" s="77">
        <f t="shared" si="43"/>
        <v>2</v>
      </c>
      <c r="AA45" s="77">
        <f t="shared" si="43"/>
        <v>12</v>
      </c>
      <c r="AB45" s="77">
        <f t="shared" si="43"/>
        <v>425</v>
      </c>
      <c r="AC45" s="77">
        <f t="shared" si="43"/>
        <v>2314</v>
      </c>
      <c r="AD45" s="77">
        <f t="shared" si="43"/>
        <v>598</v>
      </c>
      <c r="AE45" s="77">
        <f t="shared" si="43"/>
        <v>7</v>
      </c>
      <c r="AF45" s="77">
        <f t="shared" si="4"/>
        <v>3642</v>
      </c>
    </row>
    <row r="46" ht="21.75" customHeight="1">
      <c r="A46" s="38"/>
      <c r="B46" s="4">
        <v>6174.0</v>
      </c>
      <c r="C46" s="5" t="s">
        <v>56</v>
      </c>
      <c r="D46" s="7">
        <v>6.0</v>
      </c>
      <c r="E46" s="7">
        <v>17.0</v>
      </c>
      <c r="F46" s="7">
        <v>325.0</v>
      </c>
      <c r="G46" s="7">
        <v>6.0</v>
      </c>
      <c r="H46" s="7">
        <v>10.0</v>
      </c>
      <c r="I46" s="7">
        <v>420.0</v>
      </c>
      <c r="J46" s="7">
        <v>2457.0</v>
      </c>
      <c r="K46" s="7">
        <v>492.0</v>
      </c>
      <c r="L46" s="7">
        <v>7.0</v>
      </c>
      <c r="M46" s="7">
        <v>16.0</v>
      </c>
      <c r="N46" s="7">
        <v>4.0</v>
      </c>
      <c r="O46" s="7">
        <v>311.0</v>
      </c>
      <c r="P46" s="7">
        <v>0.0</v>
      </c>
      <c r="Q46" s="7">
        <v>0.0</v>
      </c>
      <c r="R46" s="7">
        <v>233.0</v>
      </c>
      <c r="S46" s="7">
        <v>1385.0</v>
      </c>
      <c r="T46" s="7">
        <v>81.0</v>
      </c>
      <c r="U46" s="7">
        <v>2.0</v>
      </c>
      <c r="V46" s="7">
        <f t="shared" si="22"/>
        <v>5772</v>
      </c>
      <c r="W46" s="77">
        <f t="shared" ref="W46:AE46" si="44">D46+M46</f>
        <v>22</v>
      </c>
      <c r="X46" s="77">
        <f t="shared" si="44"/>
        <v>21</v>
      </c>
      <c r="Y46" s="77">
        <f t="shared" si="44"/>
        <v>636</v>
      </c>
      <c r="Z46" s="77">
        <f t="shared" si="44"/>
        <v>6</v>
      </c>
      <c r="AA46" s="77">
        <f t="shared" si="44"/>
        <v>10</v>
      </c>
      <c r="AB46" s="77">
        <f t="shared" si="44"/>
        <v>653</v>
      </c>
      <c r="AC46" s="77">
        <f t="shared" si="44"/>
        <v>3842</v>
      </c>
      <c r="AD46" s="77">
        <f t="shared" si="44"/>
        <v>573</v>
      </c>
      <c r="AE46" s="77">
        <f t="shared" si="44"/>
        <v>9</v>
      </c>
      <c r="AF46" s="77">
        <f t="shared" si="4"/>
        <v>5772</v>
      </c>
    </row>
    <row r="47" ht="21.75" customHeight="1">
      <c r="A47" s="38"/>
      <c r="B47" s="4">
        <v>6175.0</v>
      </c>
      <c r="C47" s="5" t="s">
        <v>57</v>
      </c>
      <c r="D47" s="7">
        <v>87.0</v>
      </c>
      <c r="E47" s="7">
        <v>106.0</v>
      </c>
      <c r="F47" s="7">
        <v>908.0</v>
      </c>
      <c r="G47" s="7">
        <v>8.0</v>
      </c>
      <c r="H47" s="7">
        <v>35.0</v>
      </c>
      <c r="I47" s="7">
        <v>590.0</v>
      </c>
      <c r="J47" s="7">
        <v>4679.0</v>
      </c>
      <c r="K47" s="7">
        <v>1206.0</v>
      </c>
      <c r="L47" s="7">
        <v>27.0</v>
      </c>
      <c r="M47" s="7">
        <v>82.0</v>
      </c>
      <c r="N47" s="7">
        <v>159.0</v>
      </c>
      <c r="O47" s="7">
        <v>3969.0</v>
      </c>
      <c r="P47" s="7">
        <v>0.0</v>
      </c>
      <c r="Q47" s="7">
        <v>0.0</v>
      </c>
      <c r="R47" s="7">
        <v>919.0</v>
      </c>
      <c r="S47" s="7">
        <v>6428.0</v>
      </c>
      <c r="T47" s="7">
        <v>44.0</v>
      </c>
      <c r="U47" s="7">
        <v>0.0</v>
      </c>
      <c r="V47" s="7">
        <f t="shared" si="22"/>
        <v>19247</v>
      </c>
      <c r="W47" s="77">
        <f t="shared" ref="W47:AE47" si="45">D47+M47</f>
        <v>169</v>
      </c>
      <c r="X47" s="77">
        <f t="shared" si="45"/>
        <v>265</v>
      </c>
      <c r="Y47" s="77">
        <f t="shared" si="45"/>
        <v>4877</v>
      </c>
      <c r="Z47" s="77">
        <f t="shared" si="45"/>
        <v>8</v>
      </c>
      <c r="AA47" s="77">
        <f t="shared" si="45"/>
        <v>35</v>
      </c>
      <c r="AB47" s="77">
        <f t="shared" si="45"/>
        <v>1509</v>
      </c>
      <c r="AC47" s="77">
        <f t="shared" si="45"/>
        <v>11107</v>
      </c>
      <c r="AD47" s="77">
        <f t="shared" si="45"/>
        <v>1250</v>
      </c>
      <c r="AE47" s="77">
        <f t="shared" si="45"/>
        <v>27</v>
      </c>
      <c r="AF47" s="77">
        <f t="shared" si="4"/>
        <v>19247</v>
      </c>
    </row>
    <row r="48" ht="21.75" customHeight="1">
      <c r="A48" s="38"/>
      <c r="B48" s="4">
        <v>6176.0</v>
      </c>
      <c r="C48" s="5" t="s">
        <v>58</v>
      </c>
      <c r="D48" s="7">
        <v>8.0</v>
      </c>
      <c r="E48" s="7">
        <v>10.0</v>
      </c>
      <c r="F48" s="7">
        <v>509.0</v>
      </c>
      <c r="G48" s="7">
        <v>7.0</v>
      </c>
      <c r="H48" s="7">
        <v>42.0</v>
      </c>
      <c r="I48" s="7">
        <v>774.0</v>
      </c>
      <c r="J48" s="7">
        <v>3138.0</v>
      </c>
      <c r="K48" s="7">
        <v>817.0</v>
      </c>
      <c r="L48" s="7">
        <v>8.0</v>
      </c>
      <c r="M48" s="7">
        <v>0.0</v>
      </c>
      <c r="N48" s="7">
        <v>0.0</v>
      </c>
      <c r="O48" s="7">
        <v>23.0</v>
      </c>
      <c r="P48" s="7">
        <v>0.0</v>
      </c>
      <c r="Q48" s="7">
        <v>0.0</v>
      </c>
      <c r="R48" s="7">
        <v>274.0</v>
      </c>
      <c r="S48" s="7">
        <v>1564.0</v>
      </c>
      <c r="T48" s="7">
        <v>68.0</v>
      </c>
      <c r="U48" s="7">
        <v>0.0</v>
      </c>
      <c r="V48" s="7">
        <f t="shared" si="22"/>
        <v>7242</v>
      </c>
      <c r="W48" s="77">
        <f t="shared" ref="W48:AE48" si="46">D48+M48</f>
        <v>8</v>
      </c>
      <c r="X48" s="77">
        <f t="shared" si="46"/>
        <v>10</v>
      </c>
      <c r="Y48" s="77">
        <f t="shared" si="46"/>
        <v>532</v>
      </c>
      <c r="Z48" s="77">
        <f t="shared" si="46"/>
        <v>7</v>
      </c>
      <c r="AA48" s="77">
        <f t="shared" si="46"/>
        <v>42</v>
      </c>
      <c r="AB48" s="77">
        <f t="shared" si="46"/>
        <v>1048</v>
      </c>
      <c r="AC48" s="77">
        <f t="shared" si="46"/>
        <v>4702</v>
      </c>
      <c r="AD48" s="77">
        <f t="shared" si="46"/>
        <v>885</v>
      </c>
      <c r="AE48" s="77">
        <f t="shared" si="46"/>
        <v>8</v>
      </c>
      <c r="AF48" s="77">
        <f t="shared" si="4"/>
        <v>7242</v>
      </c>
    </row>
    <row r="49" ht="21.75" customHeight="1">
      <c r="A49" s="38"/>
      <c r="B49" s="4">
        <v>6177.0</v>
      </c>
      <c r="C49" s="5" t="s">
        <v>59</v>
      </c>
      <c r="D49" s="7">
        <v>17.0</v>
      </c>
      <c r="E49" s="7">
        <v>25.0</v>
      </c>
      <c r="F49" s="7">
        <v>388.0</v>
      </c>
      <c r="G49" s="7">
        <v>1.0</v>
      </c>
      <c r="H49" s="7">
        <v>26.0</v>
      </c>
      <c r="I49" s="7">
        <v>484.0</v>
      </c>
      <c r="J49" s="7">
        <v>1851.0</v>
      </c>
      <c r="K49" s="7">
        <v>615.0</v>
      </c>
      <c r="L49" s="7">
        <v>8.0</v>
      </c>
      <c r="M49" s="7">
        <v>361.0</v>
      </c>
      <c r="N49" s="7">
        <v>0.0</v>
      </c>
      <c r="O49" s="7">
        <v>842.0</v>
      </c>
      <c r="P49" s="7">
        <v>0.0</v>
      </c>
      <c r="Q49" s="7">
        <v>2.0</v>
      </c>
      <c r="R49" s="7">
        <v>131.0</v>
      </c>
      <c r="S49" s="7">
        <v>1543.0</v>
      </c>
      <c r="T49" s="7">
        <v>17.0</v>
      </c>
      <c r="U49" s="7">
        <v>0.0</v>
      </c>
      <c r="V49" s="7">
        <f t="shared" si="22"/>
        <v>6311</v>
      </c>
      <c r="W49" s="77">
        <f t="shared" ref="W49:AE49" si="47">D49+M49</f>
        <v>378</v>
      </c>
      <c r="X49" s="77">
        <f t="shared" si="47"/>
        <v>25</v>
      </c>
      <c r="Y49" s="77">
        <f t="shared" si="47"/>
        <v>1230</v>
      </c>
      <c r="Z49" s="77">
        <f t="shared" si="47"/>
        <v>1</v>
      </c>
      <c r="AA49" s="77">
        <f t="shared" si="47"/>
        <v>28</v>
      </c>
      <c r="AB49" s="77">
        <f t="shared" si="47"/>
        <v>615</v>
      </c>
      <c r="AC49" s="77">
        <f t="shared" si="47"/>
        <v>3394</v>
      </c>
      <c r="AD49" s="77">
        <f t="shared" si="47"/>
        <v>632</v>
      </c>
      <c r="AE49" s="77">
        <f t="shared" si="47"/>
        <v>8</v>
      </c>
      <c r="AF49" s="77">
        <f t="shared" si="4"/>
        <v>6311</v>
      </c>
    </row>
    <row r="50" ht="21.75" customHeight="1">
      <c r="A50" s="38"/>
      <c r="B50" s="4">
        <v>6178.0</v>
      </c>
      <c r="C50" s="5" t="s">
        <v>60</v>
      </c>
      <c r="D50" s="7">
        <v>13.0</v>
      </c>
      <c r="E50" s="7">
        <v>20.0</v>
      </c>
      <c r="F50" s="7">
        <v>484.0</v>
      </c>
      <c r="G50" s="7">
        <v>4.0</v>
      </c>
      <c r="H50" s="7">
        <v>17.0</v>
      </c>
      <c r="I50" s="7">
        <v>814.0</v>
      </c>
      <c r="J50" s="7">
        <v>2975.0</v>
      </c>
      <c r="K50" s="7">
        <v>663.0</v>
      </c>
      <c r="L50" s="7">
        <v>11.0</v>
      </c>
      <c r="M50" s="7">
        <v>1.0</v>
      </c>
      <c r="N50" s="7">
        <v>0.0</v>
      </c>
      <c r="O50" s="7">
        <v>43.0</v>
      </c>
      <c r="P50" s="7">
        <v>0.0</v>
      </c>
      <c r="Q50" s="7">
        <v>0.0</v>
      </c>
      <c r="R50" s="7">
        <v>108.0</v>
      </c>
      <c r="S50" s="7">
        <v>1285.0</v>
      </c>
      <c r="T50" s="7">
        <v>28.0</v>
      </c>
      <c r="U50" s="7">
        <v>0.0</v>
      </c>
      <c r="V50" s="7">
        <f t="shared" si="22"/>
        <v>6466</v>
      </c>
      <c r="W50" s="77">
        <f t="shared" ref="W50:AE50" si="48">D50+M50</f>
        <v>14</v>
      </c>
      <c r="X50" s="77">
        <f t="shared" si="48"/>
        <v>20</v>
      </c>
      <c r="Y50" s="77">
        <f t="shared" si="48"/>
        <v>527</v>
      </c>
      <c r="Z50" s="77">
        <f t="shared" si="48"/>
        <v>4</v>
      </c>
      <c r="AA50" s="77">
        <f t="shared" si="48"/>
        <v>17</v>
      </c>
      <c r="AB50" s="77">
        <f t="shared" si="48"/>
        <v>922</v>
      </c>
      <c r="AC50" s="77">
        <f t="shared" si="48"/>
        <v>4260</v>
      </c>
      <c r="AD50" s="77">
        <f t="shared" si="48"/>
        <v>691</v>
      </c>
      <c r="AE50" s="77">
        <f t="shared" si="48"/>
        <v>11</v>
      </c>
      <c r="AF50" s="77">
        <f t="shared" si="4"/>
        <v>6466</v>
      </c>
    </row>
    <row r="51" ht="21.75" customHeight="1">
      <c r="A51" s="38"/>
      <c r="B51" s="4">
        <v>6179.0</v>
      </c>
      <c r="C51" s="5" t="s">
        <v>61</v>
      </c>
      <c r="D51" s="7">
        <v>1.0</v>
      </c>
      <c r="E51" s="7">
        <v>6.0</v>
      </c>
      <c r="F51" s="7">
        <v>272.0</v>
      </c>
      <c r="G51" s="7">
        <v>1.0</v>
      </c>
      <c r="H51" s="7">
        <v>5.0</v>
      </c>
      <c r="I51" s="7">
        <v>364.0</v>
      </c>
      <c r="J51" s="7">
        <v>1560.0</v>
      </c>
      <c r="K51" s="7">
        <v>396.0</v>
      </c>
      <c r="L51" s="7">
        <v>6.0</v>
      </c>
      <c r="M51" s="7">
        <v>314.0</v>
      </c>
      <c r="N51" s="7">
        <v>0.0</v>
      </c>
      <c r="O51" s="7">
        <v>754.0</v>
      </c>
      <c r="P51" s="7">
        <v>0.0</v>
      </c>
      <c r="Q51" s="7">
        <v>0.0</v>
      </c>
      <c r="R51" s="7">
        <v>265.0</v>
      </c>
      <c r="S51" s="7">
        <v>798.0</v>
      </c>
      <c r="T51" s="7">
        <v>119.0</v>
      </c>
      <c r="U51" s="7">
        <v>0.0</v>
      </c>
      <c r="V51" s="7">
        <f t="shared" si="22"/>
        <v>4861</v>
      </c>
      <c r="W51" s="77">
        <f t="shared" ref="W51:AE51" si="49">D51+M51</f>
        <v>315</v>
      </c>
      <c r="X51" s="77">
        <f t="shared" si="49"/>
        <v>6</v>
      </c>
      <c r="Y51" s="77">
        <f t="shared" si="49"/>
        <v>1026</v>
      </c>
      <c r="Z51" s="77">
        <f t="shared" si="49"/>
        <v>1</v>
      </c>
      <c r="AA51" s="77">
        <f t="shared" si="49"/>
        <v>5</v>
      </c>
      <c r="AB51" s="77">
        <f t="shared" si="49"/>
        <v>629</v>
      </c>
      <c r="AC51" s="77">
        <f t="shared" si="49"/>
        <v>2358</v>
      </c>
      <c r="AD51" s="77">
        <f t="shared" si="49"/>
        <v>515</v>
      </c>
      <c r="AE51" s="77">
        <f t="shared" si="49"/>
        <v>6</v>
      </c>
      <c r="AF51" s="77">
        <f t="shared" si="4"/>
        <v>4861</v>
      </c>
    </row>
    <row r="52" ht="21.75" customHeight="1">
      <c r="A52" s="38"/>
      <c r="B52" s="24" t="s">
        <v>62</v>
      </c>
      <c r="C52" s="25"/>
      <c r="D52" s="26">
        <f t="shared" ref="D52:V52" si="50">SUM(D24:D51)</f>
        <v>778</v>
      </c>
      <c r="E52" s="26">
        <f t="shared" si="50"/>
        <v>1298</v>
      </c>
      <c r="F52" s="26">
        <f t="shared" si="50"/>
        <v>18274</v>
      </c>
      <c r="G52" s="26">
        <f t="shared" si="50"/>
        <v>190</v>
      </c>
      <c r="H52" s="26">
        <f t="shared" si="50"/>
        <v>1368</v>
      </c>
      <c r="I52" s="26">
        <f t="shared" si="50"/>
        <v>20054</v>
      </c>
      <c r="J52" s="26">
        <f t="shared" si="50"/>
        <v>138350</v>
      </c>
      <c r="K52" s="26">
        <f t="shared" si="50"/>
        <v>30093</v>
      </c>
      <c r="L52" s="26">
        <f t="shared" si="50"/>
        <v>505</v>
      </c>
      <c r="M52" s="26">
        <f t="shared" si="50"/>
        <v>1486</v>
      </c>
      <c r="N52" s="26">
        <f t="shared" si="50"/>
        <v>959</v>
      </c>
      <c r="O52" s="26">
        <f t="shared" si="50"/>
        <v>14844</v>
      </c>
      <c r="P52" s="26">
        <f t="shared" si="50"/>
        <v>0</v>
      </c>
      <c r="Q52" s="26">
        <f t="shared" si="50"/>
        <v>22</v>
      </c>
      <c r="R52" s="26">
        <f t="shared" si="50"/>
        <v>17116</v>
      </c>
      <c r="S52" s="26">
        <f t="shared" si="50"/>
        <v>129985</v>
      </c>
      <c r="T52" s="26">
        <f t="shared" si="50"/>
        <v>3420</v>
      </c>
      <c r="U52" s="26">
        <f t="shared" si="50"/>
        <v>2</v>
      </c>
      <c r="V52" s="26">
        <f t="shared" si="50"/>
        <v>378744</v>
      </c>
      <c r="W52" s="81">
        <f t="shared" ref="W52:AE52" si="51">D52+M52</f>
        <v>2264</v>
      </c>
      <c r="X52" s="81">
        <f t="shared" si="51"/>
        <v>2257</v>
      </c>
      <c r="Y52" s="81">
        <f t="shared" si="51"/>
        <v>33118</v>
      </c>
      <c r="Z52" s="81">
        <f t="shared" si="51"/>
        <v>190</v>
      </c>
      <c r="AA52" s="81">
        <f t="shared" si="51"/>
        <v>1390</v>
      </c>
      <c r="AB52" s="81">
        <f t="shared" si="51"/>
        <v>37170</v>
      </c>
      <c r="AC52" s="81">
        <f t="shared" si="51"/>
        <v>268335</v>
      </c>
      <c r="AD52" s="81">
        <f t="shared" si="51"/>
        <v>33513</v>
      </c>
      <c r="AE52" s="81">
        <f t="shared" si="51"/>
        <v>507</v>
      </c>
      <c r="AF52" s="81">
        <f t="shared" si="4"/>
        <v>378744</v>
      </c>
    </row>
    <row r="53" ht="21.75" customHeight="1">
      <c r="A53" s="38"/>
      <c r="B53" s="17">
        <v>6200.0</v>
      </c>
      <c r="C53" s="18" t="s">
        <v>63</v>
      </c>
      <c r="D53" s="20">
        <v>3.0</v>
      </c>
      <c r="E53" s="20">
        <v>29.0</v>
      </c>
      <c r="F53" s="20">
        <v>454.0</v>
      </c>
      <c r="G53" s="20">
        <v>1.0</v>
      </c>
      <c r="H53" s="20">
        <v>6.0</v>
      </c>
      <c r="I53" s="20">
        <v>249.0</v>
      </c>
      <c r="J53" s="20">
        <v>4665.0</v>
      </c>
      <c r="K53" s="20">
        <v>2800.0</v>
      </c>
      <c r="L53" s="20">
        <v>73.0</v>
      </c>
      <c r="M53" s="20">
        <v>82.0</v>
      </c>
      <c r="N53" s="20">
        <v>9.0</v>
      </c>
      <c r="O53" s="20">
        <v>2864.0</v>
      </c>
      <c r="P53" s="20">
        <v>0.0</v>
      </c>
      <c r="Q53" s="20">
        <v>0.0</v>
      </c>
      <c r="R53" s="20">
        <v>470.0</v>
      </c>
      <c r="S53" s="20">
        <v>9834.0</v>
      </c>
      <c r="T53" s="20">
        <v>116.0</v>
      </c>
      <c r="U53" s="20">
        <v>0.0</v>
      </c>
      <c r="V53" s="20">
        <f t="shared" ref="V53:V61" si="53">SUM(D53:U53)</f>
        <v>21655</v>
      </c>
      <c r="W53" s="97">
        <f t="shared" ref="W53:AE53" si="52">D53+M53</f>
        <v>85</v>
      </c>
      <c r="X53" s="97">
        <f t="shared" si="52"/>
        <v>38</v>
      </c>
      <c r="Y53" s="97">
        <f t="shared" si="52"/>
        <v>3318</v>
      </c>
      <c r="Z53" s="97">
        <f t="shared" si="52"/>
        <v>1</v>
      </c>
      <c r="AA53" s="97">
        <f t="shared" si="52"/>
        <v>6</v>
      </c>
      <c r="AB53" s="97">
        <f t="shared" si="52"/>
        <v>719</v>
      </c>
      <c r="AC53" s="97">
        <f t="shared" si="52"/>
        <v>14499</v>
      </c>
      <c r="AD53" s="97">
        <f t="shared" si="52"/>
        <v>2916</v>
      </c>
      <c r="AE53" s="97">
        <f t="shared" si="52"/>
        <v>73</v>
      </c>
      <c r="AF53" s="97">
        <f t="shared" si="4"/>
        <v>21655</v>
      </c>
    </row>
    <row r="54" ht="21.75" customHeight="1">
      <c r="A54" s="38"/>
      <c r="B54" s="17">
        <v>6201.0</v>
      </c>
      <c r="C54" s="18" t="s">
        <v>64</v>
      </c>
      <c r="D54" s="20">
        <v>37.0</v>
      </c>
      <c r="E54" s="20">
        <v>42.0</v>
      </c>
      <c r="F54" s="20">
        <v>517.0</v>
      </c>
      <c r="G54" s="20">
        <v>5.0</v>
      </c>
      <c r="H54" s="20">
        <v>67.0</v>
      </c>
      <c r="I54" s="20">
        <v>591.0</v>
      </c>
      <c r="J54" s="20">
        <v>5432.0</v>
      </c>
      <c r="K54" s="20">
        <v>838.0</v>
      </c>
      <c r="L54" s="20">
        <v>9.0</v>
      </c>
      <c r="M54" s="20">
        <v>21.0</v>
      </c>
      <c r="N54" s="20">
        <v>0.0</v>
      </c>
      <c r="O54" s="20">
        <v>65.0</v>
      </c>
      <c r="P54" s="20">
        <v>0.0</v>
      </c>
      <c r="Q54" s="20">
        <v>0.0</v>
      </c>
      <c r="R54" s="20">
        <v>276.0</v>
      </c>
      <c r="S54" s="20">
        <v>2211.0</v>
      </c>
      <c r="T54" s="20">
        <v>60.0</v>
      </c>
      <c r="U54" s="20">
        <v>0.0</v>
      </c>
      <c r="V54" s="20">
        <f t="shared" si="53"/>
        <v>10171</v>
      </c>
      <c r="W54" s="97">
        <f t="shared" ref="W54:AE54" si="54">D54+M54</f>
        <v>58</v>
      </c>
      <c r="X54" s="97">
        <f t="shared" si="54"/>
        <v>42</v>
      </c>
      <c r="Y54" s="97">
        <f t="shared" si="54"/>
        <v>582</v>
      </c>
      <c r="Z54" s="97">
        <f t="shared" si="54"/>
        <v>5</v>
      </c>
      <c r="AA54" s="97">
        <f t="shared" si="54"/>
        <v>67</v>
      </c>
      <c r="AB54" s="97">
        <f t="shared" si="54"/>
        <v>867</v>
      </c>
      <c r="AC54" s="97">
        <f t="shared" si="54"/>
        <v>7643</v>
      </c>
      <c r="AD54" s="97">
        <f t="shared" si="54"/>
        <v>898</v>
      </c>
      <c r="AE54" s="97">
        <f t="shared" si="54"/>
        <v>9</v>
      </c>
      <c r="AF54" s="97">
        <f t="shared" si="4"/>
        <v>10171</v>
      </c>
    </row>
    <row r="55" ht="21.75" customHeight="1">
      <c r="A55" s="38"/>
      <c r="B55" s="17">
        <v>6202.0</v>
      </c>
      <c r="C55" s="18" t="s">
        <v>65</v>
      </c>
      <c r="D55" s="20">
        <v>13.0</v>
      </c>
      <c r="E55" s="20">
        <v>44.0</v>
      </c>
      <c r="F55" s="20">
        <v>530.0</v>
      </c>
      <c r="G55" s="20">
        <v>4.0</v>
      </c>
      <c r="H55" s="20">
        <v>70.0</v>
      </c>
      <c r="I55" s="20">
        <v>476.0</v>
      </c>
      <c r="J55" s="20">
        <v>5636.0</v>
      </c>
      <c r="K55" s="20">
        <v>615.0</v>
      </c>
      <c r="L55" s="20">
        <v>7.0</v>
      </c>
      <c r="M55" s="20">
        <v>12.0</v>
      </c>
      <c r="N55" s="20">
        <v>6.0</v>
      </c>
      <c r="O55" s="20">
        <v>213.0</v>
      </c>
      <c r="P55" s="20">
        <v>0.0</v>
      </c>
      <c r="Q55" s="20">
        <v>0.0</v>
      </c>
      <c r="R55" s="20">
        <v>347.0</v>
      </c>
      <c r="S55" s="20">
        <v>4576.0</v>
      </c>
      <c r="T55" s="20">
        <v>86.0</v>
      </c>
      <c r="U55" s="20">
        <v>0.0</v>
      </c>
      <c r="V55" s="20">
        <f t="shared" si="53"/>
        <v>12635</v>
      </c>
      <c r="W55" s="97">
        <f t="shared" ref="W55:AE55" si="55">D55+M55</f>
        <v>25</v>
      </c>
      <c r="X55" s="97">
        <f t="shared" si="55"/>
        <v>50</v>
      </c>
      <c r="Y55" s="97">
        <f t="shared" si="55"/>
        <v>743</v>
      </c>
      <c r="Z55" s="97">
        <f t="shared" si="55"/>
        <v>4</v>
      </c>
      <c r="AA55" s="97">
        <f t="shared" si="55"/>
        <v>70</v>
      </c>
      <c r="AB55" s="97">
        <f t="shared" si="55"/>
        <v>823</v>
      </c>
      <c r="AC55" s="97">
        <f t="shared" si="55"/>
        <v>10212</v>
      </c>
      <c r="AD55" s="97">
        <f t="shared" si="55"/>
        <v>701</v>
      </c>
      <c r="AE55" s="97">
        <f t="shared" si="55"/>
        <v>7</v>
      </c>
      <c r="AF55" s="97">
        <f t="shared" si="4"/>
        <v>12635</v>
      </c>
    </row>
    <row r="56" ht="21.75" customHeight="1">
      <c r="A56" s="38"/>
      <c r="B56" s="17">
        <v>6203.0</v>
      </c>
      <c r="C56" s="18" t="s">
        <v>66</v>
      </c>
      <c r="D56" s="20">
        <v>64.0</v>
      </c>
      <c r="E56" s="20">
        <v>37.0</v>
      </c>
      <c r="F56" s="20">
        <v>480.0</v>
      </c>
      <c r="G56" s="20">
        <v>6.0</v>
      </c>
      <c r="H56" s="20">
        <v>142.0</v>
      </c>
      <c r="I56" s="20">
        <v>514.0</v>
      </c>
      <c r="J56" s="20">
        <v>5167.0</v>
      </c>
      <c r="K56" s="20">
        <v>748.0</v>
      </c>
      <c r="L56" s="20">
        <v>3.0</v>
      </c>
      <c r="M56" s="20">
        <v>4.0</v>
      </c>
      <c r="N56" s="20">
        <v>13.0</v>
      </c>
      <c r="O56" s="20">
        <v>279.0</v>
      </c>
      <c r="P56" s="20">
        <v>0.0</v>
      </c>
      <c r="Q56" s="20">
        <v>0.0</v>
      </c>
      <c r="R56" s="20">
        <v>888.0</v>
      </c>
      <c r="S56" s="20">
        <v>3889.0</v>
      </c>
      <c r="T56" s="20">
        <v>150.0</v>
      </c>
      <c r="U56" s="20">
        <v>0.0</v>
      </c>
      <c r="V56" s="20">
        <f t="shared" si="53"/>
        <v>12384</v>
      </c>
      <c r="W56" s="97">
        <f t="shared" ref="W56:AE56" si="56">D56+M56</f>
        <v>68</v>
      </c>
      <c r="X56" s="97">
        <f t="shared" si="56"/>
        <v>50</v>
      </c>
      <c r="Y56" s="97">
        <f t="shared" si="56"/>
        <v>759</v>
      </c>
      <c r="Z56" s="97">
        <f t="shared" si="56"/>
        <v>6</v>
      </c>
      <c r="AA56" s="97">
        <f t="shared" si="56"/>
        <v>142</v>
      </c>
      <c r="AB56" s="97">
        <f t="shared" si="56"/>
        <v>1402</v>
      </c>
      <c r="AC56" s="97">
        <f t="shared" si="56"/>
        <v>9056</v>
      </c>
      <c r="AD56" s="97">
        <f t="shared" si="56"/>
        <v>898</v>
      </c>
      <c r="AE56" s="97">
        <f t="shared" si="56"/>
        <v>3</v>
      </c>
      <c r="AF56" s="97">
        <f t="shared" si="4"/>
        <v>12384</v>
      </c>
    </row>
    <row r="57" ht="21.75" customHeight="1">
      <c r="A57" s="38"/>
      <c r="B57" s="4">
        <v>6204.0</v>
      </c>
      <c r="C57" s="5" t="s">
        <v>67</v>
      </c>
      <c r="D57" s="7">
        <v>7.0</v>
      </c>
      <c r="E57" s="7">
        <v>11.0</v>
      </c>
      <c r="F57" s="7">
        <v>600.0</v>
      </c>
      <c r="G57" s="7">
        <v>23.0</v>
      </c>
      <c r="H57" s="7">
        <v>137.0</v>
      </c>
      <c r="I57" s="7">
        <v>1251.0</v>
      </c>
      <c r="J57" s="7">
        <v>5996.0</v>
      </c>
      <c r="K57" s="7">
        <v>1300.0</v>
      </c>
      <c r="L57" s="7">
        <v>20.0</v>
      </c>
      <c r="M57" s="7">
        <v>6.0</v>
      </c>
      <c r="N57" s="7">
        <v>3.0</v>
      </c>
      <c r="O57" s="7">
        <v>619.0</v>
      </c>
      <c r="P57" s="7">
        <v>0.0</v>
      </c>
      <c r="Q57" s="7">
        <v>0.0</v>
      </c>
      <c r="R57" s="7">
        <v>426.0</v>
      </c>
      <c r="S57" s="7">
        <v>5355.0</v>
      </c>
      <c r="T57" s="7">
        <v>105.0</v>
      </c>
      <c r="U57" s="7">
        <v>1.0</v>
      </c>
      <c r="V57" s="7">
        <f t="shared" si="53"/>
        <v>15860</v>
      </c>
      <c r="W57" s="77">
        <f t="shared" ref="W57:AE57" si="57">D57+M57</f>
        <v>13</v>
      </c>
      <c r="X57" s="77">
        <f t="shared" si="57"/>
        <v>14</v>
      </c>
      <c r="Y57" s="77">
        <f t="shared" si="57"/>
        <v>1219</v>
      </c>
      <c r="Z57" s="77">
        <f t="shared" si="57"/>
        <v>23</v>
      </c>
      <c r="AA57" s="77">
        <f t="shared" si="57"/>
        <v>137</v>
      </c>
      <c r="AB57" s="77">
        <f t="shared" si="57"/>
        <v>1677</v>
      </c>
      <c r="AC57" s="77">
        <f t="shared" si="57"/>
        <v>11351</v>
      </c>
      <c r="AD57" s="77">
        <f t="shared" si="57"/>
        <v>1405</v>
      </c>
      <c r="AE57" s="77">
        <f t="shared" si="57"/>
        <v>21</v>
      </c>
      <c r="AF57" s="77">
        <f t="shared" si="4"/>
        <v>15860</v>
      </c>
    </row>
    <row r="58" ht="21.75" customHeight="1">
      <c r="A58" s="38"/>
      <c r="B58" s="4">
        <v>6271.0</v>
      </c>
      <c r="C58" s="5" t="s">
        <v>68</v>
      </c>
      <c r="D58" s="7">
        <v>25.0</v>
      </c>
      <c r="E58" s="7">
        <v>41.0</v>
      </c>
      <c r="F58" s="7">
        <v>450.0</v>
      </c>
      <c r="G58" s="7">
        <v>11.0</v>
      </c>
      <c r="H58" s="7">
        <v>39.0</v>
      </c>
      <c r="I58" s="7">
        <v>491.0</v>
      </c>
      <c r="J58" s="7">
        <v>3990.0</v>
      </c>
      <c r="K58" s="7">
        <v>1059.0</v>
      </c>
      <c r="L58" s="7">
        <v>29.0</v>
      </c>
      <c r="M58" s="7">
        <v>108.0</v>
      </c>
      <c r="N58" s="7">
        <v>0.0</v>
      </c>
      <c r="O58" s="7">
        <v>1479.0</v>
      </c>
      <c r="P58" s="7">
        <v>0.0</v>
      </c>
      <c r="Q58" s="7">
        <v>2.0</v>
      </c>
      <c r="R58" s="7">
        <v>672.0</v>
      </c>
      <c r="S58" s="7">
        <v>4982.0</v>
      </c>
      <c r="T58" s="7">
        <v>352.0</v>
      </c>
      <c r="U58" s="7">
        <v>0.0</v>
      </c>
      <c r="V58" s="7">
        <f t="shared" si="53"/>
        <v>13730</v>
      </c>
      <c r="W58" s="77">
        <f t="shared" ref="W58:AE58" si="58">D58+M58</f>
        <v>133</v>
      </c>
      <c r="X58" s="77">
        <f t="shared" si="58"/>
        <v>41</v>
      </c>
      <c r="Y58" s="77">
        <f t="shared" si="58"/>
        <v>1929</v>
      </c>
      <c r="Z58" s="77">
        <f t="shared" si="58"/>
        <v>11</v>
      </c>
      <c r="AA58" s="77">
        <f t="shared" si="58"/>
        <v>41</v>
      </c>
      <c r="AB58" s="77">
        <f t="shared" si="58"/>
        <v>1163</v>
      </c>
      <c r="AC58" s="77">
        <f t="shared" si="58"/>
        <v>8972</v>
      </c>
      <c r="AD58" s="77">
        <f t="shared" si="58"/>
        <v>1411</v>
      </c>
      <c r="AE58" s="77">
        <f t="shared" si="58"/>
        <v>29</v>
      </c>
      <c r="AF58" s="77">
        <f t="shared" si="4"/>
        <v>13730</v>
      </c>
    </row>
    <row r="59" ht="21.75" customHeight="1">
      <c r="A59" s="38"/>
      <c r="B59" s="4">
        <v>6272.0</v>
      </c>
      <c r="C59" s="5" t="s">
        <v>69</v>
      </c>
      <c r="D59" s="7">
        <v>2.0</v>
      </c>
      <c r="E59" s="7">
        <v>8.0</v>
      </c>
      <c r="F59" s="7">
        <v>309.0</v>
      </c>
      <c r="G59" s="7">
        <v>7.0</v>
      </c>
      <c r="H59" s="7">
        <v>15.0</v>
      </c>
      <c r="I59" s="7">
        <v>409.0</v>
      </c>
      <c r="J59" s="7">
        <v>2640.0</v>
      </c>
      <c r="K59" s="7">
        <v>846.0</v>
      </c>
      <c r="L59" s="7">
        <v>8.0</v>
      </c>
      <c r="M59" s="7">
        <v>15.0</v>
      </c>
      <c r="N59" s="7">
        <v>0.0</v>
      </c>
      <c r="O59" s="7">
        <v>164.0</v>
      </c>
      <c r="P59" s="7">
        <v>0.0</v>
      </c>
      <c r="Q59" s="7">
        <v>0.0</v>
      </c>
      <c r="R59" s="7">
        <v>236.0</v>
      </c>
      <c r="S59" s="7">
        <v>1151.0</v>
      </c>
      <c r="T59" s="7">
        <v>52.0</v>
      </c>
      <c r="U59" s="7">
        <v>0.0</v>
      </c>
      <c r="V59" s="7">
        <f t="shared" si="53"/>
        <v>5862</v>
      </c>
      <c r="W59" s="77">
        <f t="shared" ref="W59:AE59" si="59">D59+M59</f>
        <v>17</v>
      </c>
      <c r="X59" s="77">
        <f t="shared" si="59"/>
        <v>8</v>
      </c>
      <c r="Y59" s="77">
        <f t="shared" si="59"/>
        <v>473</v>
      </c>
      <c r="Z59" s="77">
        <f t="shared" si="59"/>
        <v>7</v>
      </c>
      <c r="AA59" s="77">
        <f t="shared" si="59"/>
        <v>15</v>
      </c>
      <c r="AB59" s="77">
        <f t="shared" si="59"/>
        <v>645</v>
      </c>
      <c r="AC59" s="77">
        <f t="shared" si="59"/>
        <v>3791</v>
      </c>
      <c r="AD59" s="77">
        <f t="shared" si="59"/>
        <v>898</v>
      </c>
      <c r="AE59" s="77">
        <f t="shared" si="59"/>
        <v>8</v>
      </c>
      <c r="AF59" s="77">
        <f t="shared" si="4"/>
        <v>5862</v>
      </c>
    </row>
    <row r="60" ht="21.75" customHeight="1">
      <c r="A60" s="38"/>
      <c r="B60" s="4">
        <v>6273.0</v>
      </c>
      <c r="C60" s="5" t="s">
        <v>70</v>
      </c>
      <c r="D60" s="7">
        <v>1.0</v>
      </c>
      <c r="E60" s="7">
        <v>6.0</v>
      </c>
      <c r="F60" s="7">
        <v>106.0</v>
      </c>
      <c r="G60" s="7">
        <v>2.0</v>
      </c>
      <c r="H60" s="7">
        <v>20.0</v>
      </c>
      <c r="I60" s="7">
        <v>291.0</v>
      </c>
      <c r="J60" s="7">
        <v>2657.0</v>
      </c>
      <c r="K60" s="7">
        <v>798.0</v>
      </c>
      <c r="L60" s="7">
        <v>10.0</v>
      </c>
      <c r="M60" s="7">
        <v>30.0</v>
      </c>
      <c r="N60" s="7">
        <v>0.0</v>
      </c>
      <c r="O60" s="7">
        <v>96.0</v>
      </c>
      <c r="P60" s="7">
        <v>0.0</v>
      </c>
      <c r="Q60" s="7">
        <v>0.0</v>
      </c>
      <c r="R60" s="7">
        <v>36.0</v>
      </c>
      <c r="S60" s="7">
        <v>1774.0</v>
      </c>
      <c r="T60" s="7">
        <v>20.0</v>
      </c>
      <c r="U60" s="7">
        <v>0.0</v>
      </c>
      <c r="V60" s="7">
        <f t="shared" si="53"/>
        <v>5847</v>
      </c>
      <c r="W60" s="77">
        <f t="shared" ref="W60:AE60" si="60">D60+M60</f>
        <v>31</v>
      </c>
      <c r="X60" s="77">
        <f t="shared" si="60"/>
        <v>6</v>
      </c>
      <c r="Y60" s="77">
        <f t="shared" si="60"/>
        <v>202</v>
      </c>
      <c r="Z60" s="77">
        <f t="shared" si="60"/>
        <v>2</v>
      </c>
      <c r="AA60" s="77">
        <f t="shared" si="60"/>
        <v>20</v>
      </c>
      <c r="AB60" s="77">
        <f t="shared" si="60"/>
        <v>327</v>
      </c>
      <c r="AC60" s="77">
        <f t="shared" si="60"/>
        <v>4431</v>
      </c>
      <c r="AD60" s="77">
        <f t="shared" si="60"/>
        <v>818</v>
      </c>
      <c r="AE60" s="77">
        <f t="shared" si="60"/>
        <v>10</v>
      </c>
      <c r="AF60" s="77">
        <f t="shared" si="4"/>
        <v>5847</v>
      </c>
    </row>
    <row r="61" ht="21.75" customHeight="1">
      <c r="A61" s="3"/>
      <c r="B61" s="4">
        <v>6274.0</v>
      </c>
      <c r="C61" s="5" t="s">
        <v>71</v>
      </c>
      <c r="D61" s="7">
        <v>1.0</v>
      </c>
      <c r="E61" s="7">
        <v>0.0</v>
      </c>
      <c r="F61" s="7">
        <v>145.0</v>
      </c>
      <c r="G61" s="7">
        <v>6.0</v>
      </c>
      <c r="H61" s="7">
        <v>48.0</v>
      </c>
      <c r="I61" s="7">
        <v>388.0</v>
      </c>
      <c r="J61" s="7">
        <v>2678.0</v>
      </c>
      <c r="K61" s="7">
        <v>836.0</v>
      </c>
      <c r="L61" s="7">
        <v>7.0</v>
      </c>
      <c r="M61" s="7">
        <v>260.0</v>
      </c>
      <c r="N61" s="7">
        <v>334.0</v>
      </c>
      <c r="O61" s="7">
        <v>3447.0</v>
      </c>
      <c r="P61" s="7">
        <v>3.0</v>
      </c>
      <c r="Q61" s="7">
        <v>3.0</v>
      </c>
      <c r="R61" s="7">
        <v>1285.0</v>
      </c>
      <c r="S61" s="7">
        <v>5558.0</v>
      </c>
      <c r="T61" s="7">
        <v>407.0</v>
      </c>
      <c r="U61" s="7">
        <v>0.0</v>
      </c>
      <c r="V61" s="7">
        <f t="shared" si="53"/>
        <v>15406</v>
      </c>
      <c r="W61" s="77">
        <f t="shared" ref="W61:AE61" si="61">D61+M61</f>
        <v>261</v>
      </c>
      <c r="X61" s="77">
        <f t="shared" si="61"/>
        <v>334</v>
      </c>
      <c r="Y61" s="77">
        <f t="shared" si="61"/>
        <v>3592</v>
      </c>
      <c r="Z61" s="77">
        <f t="shared" si="61"/>
        <v>9</v>
      </c>
      <c r="AA61" s="77">
        <f t="shared" si="61"/>
        <v>51</v>
      </c>
      <c r="AB61" s="77">
        <f t="shared" si="61"/>
        <v>1673</v>
      </c>
      <c r="AC61" s="77">
        <f t="shared" si="61"/>
        <v>8236</v>
      </c>
      <c r="AD61" s="77">
        <f t="shared" si="61"/>
        <v>1243</v>
      </c>
      <c r="AE61" s="77">
        <f t="shared" si="61"/>
        <v>7</v>
      </c>
      <c r="AF61" s="77">
        <f t="shared" si="4"/>
        <v>15406</v>
      </c>
    </row>
    <row r="62" ht="21.75" customHeight="1">
      <c r="A62" s="125"/>
      <c r="B62" s="61" t="s">
        <v>72</v>
      </c>
      <c r="C62" s="25"/>
      <c r="D62" s="126">
        <f t="shared" ref="D62:V62" si="62">SUM(D53:D61)</f>
        <v>153</v>
      </c>
      <c r="E62" s="126">
        <f t="shared" si="62"/>
        <v>218</v>
      </c>
      <c r="F62" s="126">
        <f t="shared" si="62"/>
        <v>3591</v>
      </c>
      <c r="G62" s="126">
        <f t="shared" si="62"/>
        <v>65</v>
      </c>
      <c r="H62" s="126">
        <f t="shared" si="62"/>
        <v>544</v>
      </c>
      <c r="I62" s="126">
        <f t="shared" si="62"/>
        <v>4660</v>
      </c>
      <c r="J62" s="126">
        <f t="shared" si="62"/>
        <v>38861</v>
      </c>
      <c r="K62" s="126">
        <f t="shared" si="62"/>
        <v>9840</v>
      </c>
      <c r="L62" s="126">
        <f t="shared" si="62"/>
        <v>166</v>
      </c>
      <c r="M62" s="126">
        <f t="shared" si="62"/>
        <v>538</v>
      </c>
      <c r="N62" s="126">
        <f t="shared" si="62"/>
        <v>365</v>
      </c>
      <c r="O62" s="126">
        <f t="shared" si="62"/>
        <v>9226</v>
      </c>
      <c r="P62" s="126">
        <f t="shared" si="62"/>
        <v>3</v>
      </c>
      <c r="Q62" s="126">
        <f t="shared" si="62"/>
        <v>5</v>
      </c>
      <c r="R62" s="126">
        <f t="shared" si="62"/>
        <v>4636</v>
      </c>
      <c r="S62" s="126">
        <f t="shared" si="62"/>
        <v>39330</v>
      </c>
      <c r="T62" s="126">
        <f t="shared" si="62"/>
        <v>1348</v>
      </c>
      <c r="U62" s="126">
        <f t="shared" si="62"/>
        <v>1</v>
      </c>
      <c r="V62" s="126">
        <f t="shared" si="62"/>
        <v>113550</v>
      </c>
      <c r="W62" s="101">
        <f t="shared" ref="W62:AE62" si="63">D62+M62</f>
        <v>691</v>
      </c>
      <c r="X62" s="101">
        <f t="shared" si="63"/>
        <v>583</v>
      </c>
      <c r="Y62" s="101">
        <f t="shared" si="63"/>
        <v>12817</v>
      </c>
      <c r="Z62" s="101">
        <f t="shared" si="63"/>
        <v>68</v>
      </c>
      <c r="AA62" s="101">
        <f t="shared" si="63"/>
        <v>549</v>
      </c>
      <c r="AB62" s="101">
        <f t="shared" si="63"/>
        <v>9296</v>
      </c>
      <c r="AC62" s="101">
        <f t="shared" si="63"/>
        <v>78191</v>
      </c>
      <c r="AD62" s="101">
        <f t="shared" si="63"/>
        <v>11188</v>
      </c>
      <c r="AE62" s="101">
        <f t="shared" si="63"/>
        <v>167</v>
      </c>
      <c r="AF62" s="101">
        <f t="shared" si="4"/>
        <v>113550</v>
      </c>
    </row>
    <row r="63" ht="29.25" customHeight="1">
      <c r="A63" s="63" t="s">
        <v>73</v>
      </c>
      <c r="B63" s="64"/>
      <c r="C63" s="25"/>
      <c r="D63" s="122">
        <f t="shared" ref="D63:V63" si="64">D52+D62</f>
        <v>931</v>
      </c>
      <c r="E63" s="122">
        <f t="shared" si="64"/>
        <v>1516</v>
      </c>
      <c r="F63" s="122">
        <f t="shared" si="64"/>
        <v>21865</v>
      </c>
      <c r="G63" s="122">
        <f t="shared" si="64"/>
        <v>255</v>
      </c>
      <c r="H63" s="122">
        <f t="shared" si="64"/>
        <v>1912</v>
      </c>
      <c r="I63" s="122">
        <f t="shared" si="64"/>
        <v>24714</v>
      </c>
      <c r="J63" s="122">
        <f t="shared" si="64"/>
        <v>177211</v>
      </c>
      <c r="K63" s="122">
        <f t="shared" si="64"/>
        <v>39933</v>
      </c>
      <c r="L63" s="122">
        <f t="shared" si="64"/>
        <v>671</v>
      </c>
      <c r="M63" s="122">
        <f t="shared" si="64"/>
        <v>2024</v>
      </c>
      <c r="N63" s="122">
        <f t="shared" si="64"/>
        <v>1324</v>
      </c>
      <c r="O63" s="122">
        <f t="shared" si="64"/>
        <v>24070</v>
      </c>
      <c r="P63" s="122">
        <f t="shared" si="64"/>
        <v>3</v>
      </c>
      <c r="Q63" s="122">
        <f t="shared" si="64"/>
        <v>27</v>
      </c>
      <c r="R63" s="122">
        <f t="shared" si="64"/>
        <v>21752</v>
      </c>
      <c r="S63" s="122">
        <f t="shared" si="64"/>
        <v>169315</v>
      </c>
      <c r="T63" s="122">
        <f t="shared" si="64"/>
        <v>4768</v>
      </c>
      <c r="U63" s="122">
        <f t="shared" si="64"/>
        <v>3</v>
      </c>
      <c r="V63" s="122">
        <f t="shared" si="64"/>
        <v>492294</v>
      </c>
      <c r="W63" s="101">
        <f t="shared" ref="W63:AE63" si="65">D63+M63</f>
        <v>2955</v>
      </c>
      <c r="X63" s="101">
        <f t="shared" si="65"/>
        <v>2840</v>
      </c>
      <c r="Y63" s="101">
        <f t="shared" si="65"/>
        <v>45935</v>
      </c>
      <c r="Z63" s="101">
        <f t="shared" si="65"/>
        <v>258</v>
      </c>
      <c r="AA63" s="101">
        <f t="shared" si="65"/>
        <v>1939</v>
      </c>
      <c r="AB63" s="101">
        <f t="shared" si="65"/>
        <v>46466</v>
      </c>
      <c r="AC63" s="101">
        <f t="shared" si="65"/>
        <v>346526</v>
      </c>
      <c r="AD63" s="101">
        <f t="shared" si="65"/>
        <v>44701</v>
      </c>
      <c r="AE63" s="101">
        <f t="shared" si="65"/>
        <v>674</v>
      </c>
      <c r="AF63" s="101">
        <f t="shared" si="4"/>
        <v>492294</v>
      </c>
    </row>
    <row r="64" ht="29.25" customHeight="1">
      <c r="A64" s="65" t="s">
        <v>88</v>
      </c>
      <c r="B64" s="64"/>
      <c r="C64" s="25"/>
      <c r="D64" s="39">
        <f t="shared" ref="D64:V64" si="66">D23+D63</f>
        <v>1001</v>
      </c>
      <c r="E64" s="39">
        <f t="shared" si="66"/>
        <v>1689</v>
      </c>
      <c r="F64" s="39">
        <f t="shared" si="66"/>
        <v>27432</v>
      </c>
      <c r="G64" s="39">
        <f t="shared" si="66"/>
        <v>972</v>
      </c>
      <c r="H64" s="39">
        <f t="shared" si="66"/>
        <v>2132</v>
      </c>
      <c r="I64" s="39">
        <f t="shared" si="66"/>
        <v>26737</v>
      </c>
      <c r="J64" s="39">
        <f t="shared" si="66"/>
        <v>201911</v>
      </c>
      <c r="K64" s="39">
        <f t="shared" si="66"/>
        <v>47444</v>
      </c>
      <c r="L64" s="39">
        <f t="shared" si="66"/>
        <v>1623</v>
      </c>
      <c r="M64" s="39">
        <f t="shared" si="66"/>
        <v>2025</v>
      </c>
      <c r="N64" s="39">
        <f t="shared" si="66"/>
        <v>1328</v>
      </c>
      <c r="O64" s="39">
        <f t="shared" si="66"/>
        <v>24116</v>
      </c>
      <c r="P64" s="39">
        <f t="shared" si="66"/>
        <v>3</v>
      </c>
      <c r="Q64" s="39">
        <f t="shared" si="66"/>
        <v>27</v>
      </c>
      <c r="R64" s="39">
        <f t="shared" si="66"/>
        <v>23070</v>
      </c>
      <c r="S64" s="39">
        <f t="shared" si="66"/>
        <v>170774</v>
      </c>
      <c r="T64" s="39">
        <f t="shared" si="66"/>
        <v>4884</v>
      </c>
      <c r="U64" s="39">
        <f t="shared" si="66"/>
        <v>3</v>
      </c>
      <c r="V64" s="39">
        <f t="shared" si="66"/>
        <v>537171</v>
      </c>
      <c r="W64" s="81">
        <f t="shared" ref="W64:AE64" si="67">D64+M64</f>
        <v>3026</v>
      </c>
      <c r="X64" s="81">
        <f t="shared" si="67"/>
        <v>3017</v>
      </c>
      <c r="Y64" s="81">
        <f t="shared" si="67"/>
        <v>51548</v>
      </c>
      <c r="Z64" s="81">
        <f t="shared" si="67"/>
        <v>975</v>
      </c>
      <c r="AA64" s="81">
        <f t="shared" si="67"/>
        <v>2159</v>
      </c>
      <c r="AB64" s="81">
        <f t="shared" si="67"/>
        <v>49807</v>
      </c>
      <c r="AC64" s="81">
        <f t="shared" si="67"/>
        <v>372685</v>
      </c>
      <c r="AD64" s="81">
        <f t="shared" si="67"/>
        <v>52328</v>
      </c>
      <c r="AE64" s="81">
        <f t="shared" si="67"/>
        <v>1626</v>
      </c>
      <c r="AF64" s="81">
        <f t="shared" si="4"/>
        <v>537171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A7:A22"/>
    <mergeCell ref="A23:C23"/>
    <mergeCell ref="A24:A61"/>
    <mergeCell ref="B52:C52"/>
    <mergeCell ref="B62:C62"/>
    <mergeCell ref="A63:C63"/>
    <mergeCell ref="A64:C64"/>
    <mergeCell ref="A5:A6"/>
    <mergeCell ref="B5:B6"/>
    <mergeCell ref="C5:C6"/>
    <mergeCell ref="D5:L5"/>
    <mergeCell ref="M5:U5"/>
    <mergeCell ref="V5:V6"/>
    <mergeCell ref="W5:AE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3.86"/>
    <col customWidth="1" min="2" max="2" width="10.71"/>
    <col customWidth="1" min="3" max="3" width="59.71"/>
    <col customWidth="1" min="4" max="11" width="12.0"/>
    <col customWidth="1" min="12" max="26" width="8.71"/>
  </cols>
  <sheetData>
    <row r="1" ht="23.25" customHeight="1">
      <c r="A1" s="66" t="s">
        <v>89</v>
      </c>
      <c r="B1" s="29"/>
    </row>
    <row r="2">
      <c r="A2" s="30" t="s">
        <v>125</v>
      </c>
      <c r="B2" s="29"/>
    </row>
    <row r="3">
      <c r="A3" s="31" t="s">
        <v>91</v>
      </c>
      <c r="B3" s="29"/>
    </row>
    <row r="5" ht="45.0" customHeight="1">
      <c r="A5" s="68" t="s">
        <v>78</v>
      </c>
      <c r="B5" s="68" t="s">
        <v>0</v>
      </c>
      <c r="C5" s="68" t="s">
        <v>1</v>
      </c>
      <c r="D5" s="65" t="s">
        <v>79</v>
      </c>
      <c r="E5" s="64"/>
      <c r="F5" s="64"/>
      <c r="G5" s="25"/>
      <c r="H5" s="65" t="s">
        <v>80</v>
      </c>
      <c r="I5" s="64"/>
      <c r="J5" s="64"/>
      <c r="K5" s="25"/>
      <c r="L5" s="105" t="s">
        <v>81</v>
      </c>
      <c r="M5" s="106" t="s">
        <v>109</v>
      </c>
      <c r="N5" s="64"/>
      <c r="O5" s="64"/>
      <c r="P5" s="25"/>
      <c r="Q5" s="72"/>
    </row>
    <row r="6" ht="35.25" customHeight="1">
      <c r="A6" s="3"/>
      <c r="B6" s="3"/>
      <c r="C6" s="3"/>
      <c r="D6" s="107" t="s">
        <v>126</v>
      </c>
      <c r="E6" s="107" t="s">
        <v>127</v>
      </c>
      <c r="F6" s="107" t="s">
        <v>128</v>
      </c>
      <c r="G6" s="107" t="s">
        <v>129</v>
      </c>
      <c r="H6" s="107" t="s">
        <v>126</v>
      </c>
      <c r="I6" s="107" t="s">
        <v>127</v>
      </c>
      <c r="J6" s="107" t="s">
        <v>128</v>
      </c>
      <c r="K6" s="107" t="s">
        <v>129</v>
      </c>
      <c r="L6" s="3"/>
      <c r="M6" s="107" t="s">
        <v>126</v>
      </c>
      <c r="N6" s="107" t="s">
        <v>127</v>
      </c>
      <c r="O6" s="107" t="s">
        <v>128</v>
      </c>
      <c r="P6" s="107" t="s">
        <v>129</v>
      </c>
      <c r="Q6" s="32" t="s">
        <v>124</v>
      </c>
    </row>
    <row r="7" ht="20.25" hidden="1" customHeight="1">
      <c r="A7" s="34" t="s">
        <v>84</v>
      </c>
      <c r="B7" s="4">
        <v>3003.0</v>
      </c>
      <c r="C7" s="5" t="s">
        <v>13</v>
      </c>
      <c r="D7" s="7">
        <v>5.0</v>
      </c>
      <c r="E7" s="7">
        <v>76.0</v>
      </c>
      <c r="F7" s="7">
        <v>348.0</v>
      </c>
      <c r="G7" s="7">
        <v>1234.0</v>
      </c>
      <c r="H7" s="7">
        <v>74.0</v>
      </c>
      <c r="I7" s="7">
        <v>589.0</v>
      </c>
      <c r="J7" s="7">
        <v>475.0</v>
      </c>
      <c r="K7" s="7">
        <v>5.0</v>
      </c>
      <c r="L7" s="7">
        <f t="shared" ref="L7:L22" si="2">SUM(D7:K7)</f>
        <v>2806</v>
      </c>
      <c r="M7" s="77">
        <f t="shared" ref="M7:P7" si="1">D7+H7</f>
        <v>79</v>
      </c>
      <c r="N7" s="77">
        <f t="shared" si="1"/>
        <v>665</v>
      </c>
      <c r="O7" s="77">
        <f t="shared" si="1"/>
        <v>823</v>
      </c>
      <c r="P7" s="77">
        <f t="shared" si="1"/>
        <v>1239</v>
      </c>
      <c r="Q7" s="77">
        <f t="shared" ref="Q7:Q64" si="4">SUM(M7:P7)</f>
        <v>2806</v>
      </c>
    </row>
    <row r="8" ht="20.25" hidden="1" customHeight="1">
      <c r="A8" s="38"/>
      <c r="B8" s="4">
        <v>3005.0</v>
      </c>
      <c r="C8" s="5" t="s">
        <v>19</v>
      </c>
      <c r="D8" s="7">
        <v>838.0</v>
      </c>
      <c r="E8" s="7">
        <v>871.0</v>
      </c>
      <c r="F8" s="7">
        <v>757.0</v>
      </c>
      <c r="G8" s="7">
        <v>547.0</v>
      </c>
      <c r="H8" s="7">
        <v>0.0</v>
      </c>
      <c r="I8" s="7">
        <v>0.0</v>
      </c>
      <c r="J8" s="7">
        <v>0.0</v>
      </c>
      <c r="K8" s="7">
        <v>0.0</v>
      </c>
      <c r="L8" s="7">
        <f t="shared" si="2"/>
        <v>3013</v>
      </c>
      <c r="M8" s="77">
        <f t="shared" ref="M8:P8" si="3">D8+H8</f>
        <v>838</v>
      </c>
      <c r="N8" s="77">
        <f t="shared" si="3"/>
        <v>871</v>
      </c>
      <c r="O8" s="77">
        <f t="shared" si="3"/>
        <v>757</v>
      </c>
      <c r="P8" s="77">
        <f t="shared" si="3"/>
        <v>547</v>
      </c>
      <c r="Q8" s="77">
        <f t="shared" si="4"/>
        <v>3013</v>
      </c>
    </row>
    <row r="9" ht="20.25" hidden="1" customHeight="1">
      <c r="A9" s="38"/>
      <c r="B9" s="4">
        <v>3006.0</v>
      </c>
      <c r="C9" s="5" t="s">
        <v>20</v>
      </c>
      <c r="D9" s="7">
        <v>167.0</v>
      </c>
      <c r="E9" s="7">
        <v>334.0</v>
      </c>
      <c r="F9" s="7">
        <v>589.0</v>
      </c>
      <c r="G9" s="7">
        <v>532.0</v>
      </c>
      <c r="H9" s="7">
        <v>0.0</v>
      </c>
      <c r="I9" s="7">
        <v>0.0</v>
      </c>
      <c r="J9" s="7">
        <v>0.0</v>
      </c>
      <c r="K9" s="7">
        <v>0.0</v>
      </c>
      <c r="L9" s="7">
        <f t="shared" si="2"/>
        <v>1622</v>
      </c>
      <c r="M9" s="77">
        <f t="shared" ref="M9:P9" si="5">D9+H9</f>
        <v>167</v>
      </c>
      <c r="N9" s="77">
        <f t="shared" si="5"/>
        <v>334</v>
      </c>
      <c r="O9" s="77">
        <f t="shared" si="5"/>
        <v>589</v>
      </c>
      <c r="P9" s="77">
        <f t="shared" si="5"/>
        <v>532</v>
      </c>
      <c r="Q9" s="77">
        <f t="shared" si="4"/>
        <v>1622</v>
      </c>
    </row>
    <row r="10" ht="20.25" hidden="1" customHeight="1">
      <c r="A10" s="38"/>
      <c r="B10" s="4">
        <v>3012.0</v>
      </c>
      <c r="C10" s="5" t="s">
        <v>21</v>
      </c>
      <c r="D10" s="7">
        <v>366.0</v>
      </c>
      <c r="E10" s="7">
        <v>2075.0</v>
      </c>
      <c r="F10" s="7">
        <v>8507.0</v>
      </c>
      <c r="G10" s="7">
        <v>14419.0</v>
      </c>
      <c r="H10" s="7">
        <v>2.0</v>
      </c>
      <c r="I10" s="7">
        <v>48.0</v>
      </c>
      <c r="J10" s="7">
        <v>402.0</v>
      </c>
      <c r="K10" s="7">
        <v>287.0</v>
      </c>
      <c r="L10" s="7">
        <f t="shared" si="2"/>
        <v>26106</v>
      </c>
      <c r="M10" s="77">
        <f t="shared" ref="M10:P10" si="6">D10+H10</f>
        <v>368</v>
      </c>
      <c r="N10" s="77">
        <f t="shared" si="6"/>
        <v>2123</v>
      </c>
      <c r="O10" s="77">
        <f t="shared" si="6"/>
        <v>8909</v>
      </c>
      <c r="P10" s="77">
        <f t="shared" si="6"/>
        <v>14706</v>
      </c>
      <c r="Q10" s="77">
        <f t="shared" si="4"/>
        <v>26106</v>
      </c>
    </row>
    <row r="11" ht="20.25" hidden="1" customHeight="1">
      <c r="A11" s="38"/>
      <c r="B11" s="4">
        <v>3023.0</v>
      </c>
      <c r="C11" s="5" t="s">
        <v>85</v>
      </c>
      <c r="D11" s="7">
        <v>4.0</v>
      </c>
      <c r="E11" s="7">
        <v>14.0</v>
      </c>
      <c r="F11" s="7">
        <v>12.0</v>
      </c>
      <c r="G11" s="7">
        <v>2.0</v>
      </c>
      <c r="H11" s="7">
        <v>0.0</v>
      </c>
      <c r="I11" s="7">
        <v>0.0</v>
      </c>
      <c r="J11" s="7">
        <v>0.0</v>
      </c>
      <c r="K11" s="7">
        <v>0.0</v>
      </c>
      <c r="L11" s="7">
        <f t="shared" si="2"/>
        <v>32</v>
      </c>
      <c r="M11" s="77">
        <f t="shared" ref="M11:P11" si="7">D11+H11</f>
        <v>4</v>
      </c>
      <c r="N11" s="77">
        <f t="shared" si="7"/>
        <v>14</v>
      </c>
      <c r="O11" s="77">
        <f t="shared" si="7"/>
        <v>12</v>
      </c>
      <c r="P11" s="77">
        <f t="shared" si="7"/>
        <v>2</v>
      </c>
      <c r="Q11" s="77">
        <f t="shared" si="4"/>
        <v>32</v>
      </c>
    </row>
    <row r="12" ht="20.25" hidden="1" customHeight="1">
      <c r="A12" s="38"/>
      <c r="B12" s="4">
        <v>3024.0</v>
      </c>
      <c r="C12" s="5" t="s">
        <v>22</v>
      </c>
      <c r="D12" s="7">
        <v>1211.0</v>
      </c>
      <c r="E12" s="7">
        <v>1317.0</v>
      </c>
      <c r="F12" s="7">
        <v>714.0</v>
      </c>
      <c r="G12" s="7">
        <v>415.0</v>
      </c>
      <c r="H12" s="7">
        <v>0.0</v>
      </c>
      <c r="I12" s="7">
        <v>0.0</v>
      </c>
      <c r="J12" s="7">
        <v>0.0</v>
      </c>
      <c r="K12" s="7">
        <v>0.0</v>
      </c>
      <c r="L12" s="7">
        <f t="shared" si="2"/>
        <v>3657</v>
      </c>
      <c r="M12" s="77">
        <f t="shared" ref="M12:P12" si="8">D12+H12</f>
        <v>1211</v>
      </c>
      <c r="N12" s="77">
        <f t="shared" si="8"/>
        <v>1317</v>
      </c>
      <c r="O12" s="77">
        <f t="shared" si="8"/>
        <v>714</v>
      </c>
      <c r="P12" s="77">
        <f t="shared" si="8"/>
        <v>415</v>
      </c>
      <c r="Q12" s="77">
        <f t="shared" si="4"/>
        <v>3657</v>
      </c>
    </row>
    <row r="13" ht="20.25" hidden="1" customHeight="1">
      <c r="A13" s="38"/>
      <c r="B13" s="4">
        <v>3038.0</v>
      </c>
      <c r="C13" s="5" t="s">
        <v>23</v>
      </c>
      <c r="D13" s="7">
        <v>45.0</v>
      </c>
      <c r="E13" s="7">
        <v>66.0</v>
      </c>
      <c r="F13" s="7">
        <v>70.0</v>
      </c>
      <c r="G13" s="7">
        <v>19.0</v>
      </c>
      <c r="H13" s="7">
        <v>0.0</v>
      </c>
      <c r="I13" s="7">
        <v>0.0</v>
      </c>
      <c r="J13" s="7">
        <v>0.0</v>
      </c>
      <c r="K13" s="7">
        <v>0.0</v>
      </c>
      <c r="L13" s="7">
        <f t="shared" si="2"/>
        <v>200</v>
      </c>
      <c r="M13" s="77">
        <f t="shared" ref="M13:P13" si="9">D13+H13</f>
        <v>45</v>
      </c>
      <c r="N13" s="77">
        <f t="shared" si="9"/>
        <v>66</v>
      </c>
      <c r="O13" s="77">
        <f t="shared" si="9"/>
        <v>70</v>
      </c>
      <c r="P13" s="77">
        <f t="shared" si="9"/>
        <v>19</v>
      </c>
      <c r="Q13" s="77">
        <f t="shared" si="4"/>
        <v>200</v>
      </c>
    </row>
    <row r="14" ht="20.25" hidden="1" customHeight="1">
      <c r="A14" s="38"/>
      <c r="B14" s="4">
        <v>4002.0</v>
      </c>
      <c r="C14" s="5" t="s">
        <v>24</v>
      </c>
      <c r="D14" s="7">
        <v>2.0</v>
      </c>
      <c r="E14" s="7">
        <v>20.0</v>
      </c>
      <c r="F14" s="7">
        <v>23.0</v>
      </c>
      <c r="G14" s="7">
        <v>18.0</v>
      </c>
      <c r="H14" s="7">
        <v>0.0</v>
      </c>
      <c r="I14" s="7">
        <v>0.0</v>
      </c>
      <c r="J14" s="7">
        <v>0.0</v>
      </c>
      <c r="K14" s="7">
        <v>0.0</v>
      </c>
      <c r="L14" s="7">
        <f t="shared" si="2"/>
        <v>63</v>
      </c>
      <c r="M14" s="77">
        <f t="shared" ref="M14:P14" si="10">D14+H14</f>
        <v>2</v>
      </c>
      <c r="N14" s="77">
        <f t="shared" si="10"/>
        <v>20</v>
      </c>
      <c r="O14" s="77">
        <f t="shared" si="10"/>
        <v>23</v>
      </c>
      <c r="P14" s="77">
        <f t="shared" si="10"/>
        <v>18</v>
      </c>
      <c r="Q14" s="77">
        <f t="shared" si="4"/>
        <v>63</v>
      </c>
    </row>
    <row r="15" ht="20.25" hidden="1" customHeight="1">
      <c r="A15" s="38"/>
      <c r="B15" s="4">
        <v>4007.0</v>
      </c>
      <c r="C15" s="5" t="s">
        <v>25</v>
      </c>
      <c r="D15" s="7">
        <v>312.0</v>
      </c>
      <c r="E15" s="7">
        <v>579.0</v>
      </c>
      <c r="F15" s="7">
        <v>660.0</v>
      </c>
      <c r="G15" s="7">
        <v>813.0</v>
      </c>
      <c r="H15" s="7">
        <v>1.0</v>
      </c>
      <c r="I15" s="7">
        <v>2.0</v>
      </c>
      <c r="J15" s="7">
        <v>1.0</v>
      </c>
      <c r="K15" s="7">
        <v>0.0</v>
      </c>
      <c r="L15" s="7">
        <f t="shared" si="2"/>
        <v>2368</v>
      </c>
      <c r="M15" s="77">
        <f t="shared" ref="M15:P15" si="11">D15+H15</f>
        <v>313</v>
      </c>
      <c r="N15" s="77">
        <f t="shared" si="11"/>
        <v>581</v>
      </c>
      <c r="O15" s="77">
        <f t="shared" si="11"/>
        <v>661</v>
      </c>
      <c r="P15" s="77">
        <f t="shared" si="11"/>
        <v>813</v>
      </c>
      <c r="Q15" s="77">
        <f t="shared" si="4"/>
        <v>2368</v>
      </c>
    </row>
    <row r="16" ht="20.25" hidden="1" customHeight="1">
      <c r="A16" s="38"/>
      <c r="B16" s="4">
        <v>4008.0</v>
      </c>
      <c r="C16" s="5" t="s">
        <v>26</v>
      </c>
      <c r="D16" s="7">
        <v>8.0</v>
      </c>
      <c r="E16" s="7">
        <v>73.0</v>
      </c>
      <c r="F16" s="7">
        <v>112.0</v>
      </c>
      <c r="G16" s="7">
        <v>46.0</v>
      </c>
      <c r="H16" s="7">
        <v>0.0</v>
      </c>
      <c r="I16" s="7">
        <v>0.0</v>
      </c>
      <c r="J16" s="7">
        <v>0.0</v>
      </c>
      <c r="K16" s="7">
        <v>0.0</v>
      </c>
      <c r="L16" s="7">
        <f t="shared" si="2"/>
        <v>239</v>
      </c>
      <c r="M16" s="77">
        <f t="shared" ref="M16:P16" si="12">D16+H16</f>
        <v>8</v>
      </c>
      <c r="N16" s="77">
        <f t="shared" si="12"/>
        <v>73</v>
      </c>
      <c r="O16" s="77">
        <f t="shared" si="12"/>
        <v>112</v>
      </c>
      <c r="P16" s="77">
        <f t="shared" si="12"/>
        <v>46</v>
      </c>
      <c r="Q16" s="77">
        <f t="shared" si="4"/>
        <v>239</v>
      </c>
    </row>
    <row r="17" ht="20.25" hidden="1" customHeight="1">
      <c r="A17" s="38"/>
      <c r="B17" s="4">
        <v>4016.0</v>
      </c>
      <c r="C17" s="5" t="s">
        <v>27</v>
      </c>
      <c r="D17" s="7">
        <v>119.0</v>
      </c>
      <c r="E17" s="7">
        <v>416.0</v>
      </c>
      <c r="F17" s="7">
        <v>399.0</v>
      </c>
      <c r="G17" s="7">
        <v>345.0</v>
      </c>
      <c r="H17" s="7">
        <v>1.0</v>
      </c>
      <c r="I17" s="7">
        <v>4.0</v>
      </c>
      <c r="J17" s="7">
        <v>1.0</v>
      </c>
      <c r="K17" s="7">
        <v>1.0</v>
      </c>
      <c r="L17" s="7">
        <f t="shared" si="2"/>
        <v>1286</v>
      </c>
      <c r="M17" s="77">
        <f t="shared" ref="M17:P17" si="13">D17+H17</f>
        <v>120</v>
      </c>
      <c r="N17" s="77">
        <f t="shared" si="13"/>
        <v>420</v>
      </c>
      <c r="O17" s="77">
        <f t="shared" si="13"/>
        <v>400</v>
      </c>
      <c r="P17" s="77">
        <f t="shared" si="13"/>
        <v>346</v>
      </c>
      <c r="Q17" s="77">
        <f t="shared" si="4"/>
        <v>1286</v>
      </c>
    </row>
    <row r="18" ht="20.25" hidden="1" customHeight="1">
      <c r="A18" s="38"/>
      <c r="B18" s="4">
        <v>4020.0</v>
      </c>
      <c r="C18" s="5" t="s">
        <v>28</v>
      </c>
      <c r="D18" s="7">
        <v>58.0</v>
      </c>
      <c r="E18" s="7">
        <v>115.0</v>
      </c>
      <c r="F18" s="7">
        <v>219.0</v>
      </c>
      <c r="G18" s="7">
        <v>303.0</v>
      </c>
      <c r="H18" s="7">
        <v>88.0</v>
      </c>
      <c r="I18" s="7">
        <v>610.0</v>
      </c>
      <c r="J18" s="7">
        <v>305.0</v>
      </c>
      <c r="K18" s="7">
        <v>48.0</v>
      </c>
      <c r="L18" s="7">
        <f t="shared" si="2"/>
        <v>1746</v>
      </c>
      <c r="M18" s="77">
        <f t="shared" ref="M18:P18" si="14">D18+H18</f>
        <v>146</v>
      </c>
      <c r="N18" s="77">
        <f t="shared" si="14"/>
        <v>725</v>
      </c>
      <c r="O18" s="77">
        <f t="shared" si="14"/>
        <v>524</v>
      </c>
      <c r="P18" s="77">
        <f t="shared" si="14"/>
        <v>351</v>
      </c>
      <c r="Q18" s="77">
        <f t="shared" si="4"/>
        <v>1746</v>
      </c>
    </row>
    <row r="19" ht="20.25" hidden="1" customHeight="1">
      <c r="A19" s="38"/>
      <c r="B19" s="4">
        <v>4023.0</v>
      </c>
      <c r="C19" s="5" t="s">
        <v>29</v>
      </c>
      <c r="D19" s="7">
        <v>24.0</v>
      </c>
      <c r="E19" s="7">
        <v>67.0</v>
      </c>
      <c r="F19" s="7">
        <v>18.0</v>
      </c>
      <c r="G19" s="7">
        <v>104.0</v>
      </c>
      <c r="H19" s="7">
        <v>0.0</v>
      </c>
      <c r="I19" s="7">
        <v>0.0</v>
      </c>
      <c r="J19" s="7">
        <v>0.0</v>
      </c>
      <c r="K19" s="7">
        <v>0.0</v>
      </c>
      <c r="L19" s="7">
        <f t="shared" si="2"/>
        <v>213</v>
      </c>
      <c r="M19" s="77">
        <f t="shared" ref="M19:P19" si="15">D19+H19</f>
        <v>24</v>
      </c>
      <c r="N19" s="77">
        <f t="shared" si="15"/>
        <v>67</v>
      </c>
      <c r="O19" s="77">
        <f t="shared" si="15"/>
        <v>18</v>
      </c>
      <c r="P19" s="77">
        <f t="shared" si="15"/>
        <v>104</v>
      </c>
      <c r="Q19" s="77">
        <f t="shared" si="4"/>
        <v>213</v>
      </c>
    </row>
    <row r="20" ht="20.25" hidden="1" customHeight="1">
      <c r="A20" s="38"/>
      <c r="B20" s="4">
        <v>4024.0</v>
      </c>
      <c r="C20" s="5" t="s">
        <v>30</v>
      </c>
      <c r="D20" s="7">
        <v>8.0</v>
      </c>
      <c r="E20" s="7">
        <v>39.0</v>
      </c>
      <c r="F20" s="7">
        <v>53.0</v>
      </c>
      <c r="G20" s="7">
        <v>106.0</v>
      </c>
      <c r="H20" s="7">
        <v>0.0</v>
      </c>
      <c r="I20" s="7">
        <v>0.0</v>
      </c>
      <c r="J20" s="7">
        <v>0.0</v>
      </c>
      <c r="K20" s="7">
        <v>0.0</v>
      </c>
      <c r="L20" s="7">
        <f t="shared" si="2"/>
        <v>206</v>
      </c>
      <c r="M20" s="77">
        <f t="shared" ref="M20:P20" si="16">D20+H20</f>
        <v>8</v>
      </c>
      <c r="N20" s="77">
        <f t="shared" si="16"/>
        <v>39</v>
      </c>
      <c r="O20" s="77">
        <f t="shared" si="16"/>
        <v>53</v>
      </c>
      <c r="P20" s="77">
        <f t="shared" si="16"/>
        <v>106</v>
      </c>
      <c r="Q20" s="77">
        <f t="shared" si="4"/>
        <v>206</v>
      </c>
    </row>
    <row r="21" ht="20.25" hidden="1" customHeight="1">
      <c r="A21" s="38"/>
      <c r="B21" s="4">
        <v>4033.0</v>
      </c>
      <c r="C21" s="5" t="s">
        <v>31</v>
      </c>
      <c r="D21" s="7">
        <v>37.0</v>
      </c>
      <c r="E21" s="7">
        <v>105.0</v>
      </c>
      <c r="F21" s="7">
        <v>375.0</v>
      </c>
      <c r="G21" s="7">
        <v>408.0</v>
      </c>
      <c r="H21" s="7">
        <v>0.0</v>
      </c>
      <c r="I21" s="7">
        <v>0.0</v>
      </c>
      <c r="J21" s="7">
        <v>0.0</v>
      </c>
      <c r="K21" s="7">
        <v>0.0</v>
      </c>
      <c r="L21" s="7">
        <f t="shared" si="2"/>
        <v>925</v>
      </c>
      <c r="M21" s="77">
        <f t="shared" ref="M21:P21" si="17">D21+H21</f>
        <v>37</v>
      </c>
      <c r="N21" s="77">
        <f t="shared" si="17"/>
        <v>105</v>
      </c>
      <c r="O21" s="77">
        <f t="shared" si="17"/>
        <v>375</v>
      </c>
      <c r="P21" s="77">
        <f t="shared" si="17"/>
        <v>408</v>
      </c>
      <c r="Q21" s="77">
        <f t="shared" si="4"/>
        <v>925</v>
      </c>
    </row>
    <row r="22" ht="20.25" hidden="1" customHeight="1">
      <c r="A22" s="3"/>
      <c r="B22" s="4">
        <v>4071.0</v>
      </c>
      <c r="C22" s="5" t="s">
        <v>32</v>
      </c>
      <c r="D22" s="7">
        <v>21.0</v>
      </c>
      <c r="E22" s="7">
        <v>116.0</v>
      </c>
      <c r="F22" s="7">
        <v>206.0</v>
      </c>
      <c r="G22" s="7">
        <v>52.0</v>
      </c>
      <c r="H22" s="7">
        <v>0.0</v>
      </c>
      <c r="I22" s="7">
        <v>0.0</v>
      </c>
      <c r="J22" s="7">
        <v>0.0</v>
      </c>
      <c r="K22" s="7">
        <v>0.0</v>
      </c>
      <c r="L22" s="7">
        <f t="shared" si="2"/>
        <v>395</v>
      </c>
      <c r="M22" s="77">
        <f t="shared" ref="M22:P22" si="18">D22+H22</f>
        <v>21</v>
      </c>
      <c r="N22" s="77">
        <f t="shared" si="18"/>
        <v>116</v>
      </c>
      <c r="O22" s="77">
        <f t="shared" si="18"/>
        <v>206</v>
      </c>
      <c r="P22" s="77">
        <f t="shared" si="18"/>
        <v>52</v>
      </c>
      <c r="Q22" s="77">
        <f t="shared" si="4"/>
        <v>395</v>
      </c>
    </row>
    <row r="23" ht="37.5" hidden="1" customHeight="1">
      <c r="A23" s="78" t="s">
        <v>86</v>
      </c>
      <c r="B23" s="64"/>
      <c r="C23" s="25"/>
      <c r="D23" s="39">
        <f t="shared" ref="D23:L23" si="19">SUM(D7:D22)</f>
        <v>3225</v>
      </c>
      <c r="E23" s="39">
        <f t="shared" si="19"/>
        <v>6283</v>
      </c>
      <c r="F23" s="39">
        <f t="shared" si="19"/>
        <v>13062</v>
      </c>
      <c r="G23" s="39">
        <f t="shared" si="19"/>
        <v>19363</v>
      </c>
      <c r="H23" s="39">
        <f t="shared" si="19"/>
        <v>166</v>
      </c>
      <c r="I23" s="39">
        <f t="shared" si="19"/>
        <v>1253</v>
      </c>
      <c r="J23" s="39">
        <f t="shared" si="19"/>
        <v>1184</v>
      </c>
      <c r="K23" s="39">
        <f t="shared" si="19"/>
        <v>341</v>
      </c>
      <c r="L23" s="39">
        <f t="shared" si="19"/>
        <v>44877</v>
      </c>
      <c r="M23" s="111">
        <f t="shared" ref="M23:P23" si="20">D23+H23</f>
        <v>3391</v>
      </c>
      <c r="N23" s="111">
        <f t="shared" si="20"/>
        <v>7536</v>
      </c>
      <c r="O23" s="111">
        <f t="shared" si="20"/>
        <v>14246</v>
      </c>
      <c r="P23" s="111">
        <f t="shared" si="20"/>
        <v>19704</v>
      </c>
      <c r="Q23" s="111">
        <f t="shared" si="4"/>
        <v>44877</v>
      </c>
    </row>
    <row r="24" ht="20.25" customHeight="1">
      <c r="A24" s="34" t="s">
        <v>87</v>
      </c>
      <c r="B24" s="4">
        <v>6100.0</v>
      </c>
      <c r="C24" s="5" t="s">
        <v>33</v>
      </c>
      <c r="D24" s="7">
        <v>1838.0</v>
      </c>
      <c r="E24" s="7">
        <v>3850.0</v>
      </c>
      <c r="F24" s="7">
        <v>9323.0</v>
      </c>
      <c r="G24" s="7">
        <v>11763.0</v>
      </c>
      <c r="H24" s="7">
        <v>3013.0</v>
      </c>
      <c r="I24" s="7">
        <v>12893.0</v>
      </c>
      <c r="J24" s="7">
        <v>7699.0</v>
      </c>
      <c r="K24" s="7">
        <v>2093.0</v>
      </c>
      <c r="L24" s="7">
        <f t="shared" ref="L24:L51" si="22">SUM(D24:K24)</f>
        <v>52472</v>
      </c>
      <c r="M24" s="77">
        <f t="shared" ref="M24:P24" si="21">D24+H24</f>
        <v>4851</v>
      </c>
      <c r="N24" s="77">
        <f t="shared" si="21"/>
        <v>16743</v>
      </c>
      <c r="O24" s="77">
        <f t="shared" si="21"/>
        <v>17022</v>
      </c>
      <c r="P24" s="77">
        <f t="shared" si="21"/>
        <v>13856</v>
      </c>
      <c r="Q24" s="77">
        <f t="shared" si="4"/>
        <v>52472</v>
      </c>
    </row>
    <row r="25" ht="20.25" customHeight="1">
      <c r="A25" s="38"/>
      <c r="B25" s="4">
        <v>6101.0</v>
      </c>
      <c r="C25" s="5" t="s">
        <v>34</v>
      </c>
      <c r="D25" s="7">
        <v>830.0</v>
      </c>
      <c r="E25" s="7">
        <v>2090.0</v>
      </c>
      <c r="F25" s="7">
        <v>3627.0</v>
      </c>
      <c r="G25" s="7">
        <v>5343.0</v>
      </c>
      <c r="H25" s="7">
        <v>2445.0</v>
      </c>
      <c r="I25" s="7">
        <v>6393.0</v>
      </c>
      <c r="J25" s="7">
        <v>3962.0</v>
      </c>
      <c r="K25" s="7">
        <v>1172.0</v>
      </c>
      <c r="L25" s="7">
        <f t="shared" si="22"/>
        <v>25862</v>
      </c>
      <c r="M25" s="77">
        <f t="shared" ref="M25:P25" si="23">D25+H25</f>
        <v>3275</v>
      </c>
      <c r="N25" s="77">
        <f t="shared" si="23"/>
        <v>8483</v>
      </c>
      <c r="O25" s="77">
        <f t="shared" si="23"/>
        <v>7589</v>
      </c>
      <c r="P25" s="77">
        <f t="shared" si="23"/>
        <v>6515</v>
      </c>
      <c r="Q25" s="77">
        <f t="shared" si="4"/>
        <v>25862</v>
      </c>
    </row>
    <row r="26" ht="20.25" customHeight="1">
      <c r="A26" s="38"/>
      <c r="B26" s="4">
        <v>6102.0</v>
      </c>
      <c r="C26" s="5" t="s">
        <v>35</v>
      </c>
      <c r="D26" s="7">
        <v>282.0</v>
      </c>
      <c r="E26" s="7">
        <v>920.0</v>
      </c>
      <c r="F26" s="7">
        <v>2759.0</v>
      </c>
      <c r="G26" s="7">
        <v>3976.0</v>
      </c>
      <c r="H26" s="7">
        <v>612.0</v>
      </c>
      <c r="I26" s="7">
        <v>2388.0</v>
      </c>
      <c r="J26" s="7">
        <v>1674.0</v>
      </c>
      <c r="K26" s="7">
        <v>460.0</v>
      </c>
      <c r="L26" s="7">
        <f t="shared" si="22"/>
        <v>13071</v>
      </c>
      <c r="M26" s="77">
        <f t="shared" ref="M26:P26" si="24">D26+H26</f>
        <v>894</v>
      </c>
      <c r="N26" s="77">
        <f t="shared" si="24"/>
        <v>3308</v>
      </c>
      <c r="O26" s="77">
        <f t="shared" si="24"/>
        <v>4433</v>
      </c>
      <c r="P26" s="77">
        <f t="shared" si="24"/>
        <v>4436</v>
      </c>
      <c r="Q26" s="77">
        <f t="shared" si="4"/>
        <v>13071</v>
      </c>
    </row>
    <row r="27" ht="20.25" customHeight="1">
      <c r="A27" s="38"/>
      <c r="B27" s="4">
        <v>6103.0</v>
      </c>
      <c r="C27" s="5" t="s">
        <v>36</v>
      </c>
      <c r="D27" s="7">
        <v>143.0</v>
      </c>
      <c r="E27" s="7">
        <v>667.0</v>
      </c>
      <c r="F27" s="7">
        <v>2310.0</v>
      </c>
      <c r="G27" s="7">
        <v>4192.0</v>
      </c>
      <c r="H27" s="7">
        <v>1015.0</v>
      </c>
      <c r="I27" s="7">
        <v>3720.0</v>
      </c>
      <c r="J27" s="7">
        <v>2678.0</v>
      </c>
      <c r="K27" s="7">
        <v>727.0</v>
      </c>
      <c r="L27" s="7">
        <f t="shared" si="22"/>
        <v>15452</v>
      </c>
      <c r="M27" s="77">
        <f t="shared" ref="M27:P27" si="25">D27+H27</f>
        <v>1158</v>
      </c>
      <c r="N27" s="77">
        <f t="shared" si="25"/>
        <v>4387</v>
      </c>
      <c r="O27" s="77">
        <f t="shared" si="25"/>
        <v>4988</v>
      </c>
      <c r="P27" s="77">
        <f t="shared" si="25"/>
        <v>4919</v>
      </c>
      <c r="Q27" s="77">
        <f t="shared" si="4"/>
        <v>15452</v>
      </c>
    </row>
    <row r="28" ht="20.25" customHeight="1">
      <c r="A28" s="38"/>
      <c r="B28" s="4">
        <v>6104.0</v>
      </c>
      <c r="C28" s="5" t="s">
        <v>37</v>
      </c>
      <c r="D28" s="7">
        <v>291.0</v>
      </c>
      <c r="E28" s="7">
        <v>1263.0</v>
      </c>
      <c r="F28" s="7">
        <v>3548.0</v>
      </c>
      <c r="G28" s="7">
        <v>3943.0</v>
      </c>
      <c r="H28" s="7">
        <v>2539.0</v>
      </c>
      <c r="I28" s="7">
        <v>6321.0</v>
      </c>
      <c r="J28" s="7">
        <v>3439.0</v>
      </c>
      <c r="K28" s="7">
        <v>1115.0</v>
      </c>
      <c r="L28" s="7">
        <f t="shared" si="22"/>
        <v>22459</v>
      </c>
      <c r="M28" s="77">
        <f t="shared" ref="M28:P28" si="26">D28+H28</f>
        <v>2830</v>
      </c>
      <c r="N28" s="77">
        <f t="shared" si="26"/>
        <v>7584</v>
      </c>
      <c r="O28" s="77">
        <f t="shared" si="26"/>
        <v>6987</v>
      </c>
      <c r="P28" s="77">
        <f t="shared" si="26"/>
        <v>5058</v>
      </c>
      <c r="Q28" s="77">
        <f t="shared" si="4"/>
        <v>22459</v>
      </c>
    </row>
    <row r="29" ht="20.25" customHeight="1">
      <c r="A29" s="38"/>
      <c r="B29" s="4">
        <v>6105.0</v>
      </c>
      <c r="C29" s="5" t="s">
        <v>39</v>
      </c>
      <c r="D29" s="7">
        <v>558.0</v>
      </c>
      <c r="E29" s="7">
        <v>1320.0</v>
      </c>
      <c r="F29" s="7">
        <v>2027.0</v>
      </c>
      <c r="G29" s="7">
        <v>3774.0</v>
      </c>
      <c r="H29" s="7">
        <v>814.0</v>
      </c>
      <c r="I29" s="7">
        <v>2627.0</v>
      </c>
      <c r="J29" s="7">
        <v>1695.0</v>
      </c>
      <c r="K29" s="7">
        <v>605.0</v>
      </c>
      <c r="L29" s="7">
        <f t="shared" si="22"/>
        <v>13420</v>
      </c>
      <c r="M29" s="77">
        <f t="shared" ref="M29:P29" si="27">D29+H29</f>
        <v>1372</v>
      </c>
      <c r="N29" s="77">
        <f t="shared" si="27"/>
        <v>3947</v>
      </c>
      <c r="O29" s="77">
        <f t="shared" si="27"/>
        <v>3722</v>
      </c>
      <c r="P29" s="77">
        <f t="shared" si="27"/>
        <v>4379</v>
      </c>
      <c r="Q29" s="77">
        <f t="shared" si="4"/>
        <v>13420</v>
      </c>
    </row>
    <row r="30" ht="20.25" customHeight="1">
      <c r="A30" s="38"/>
      <c r="B30" s="4">
        <v>6106.0</v>
      </c>
      <c r="C30" s="5" t="s">
        <v>40</v>
      </c>
      <c r="D30" s="7">
        <v>348.0</v>
      </c>
      <c r="E30" s="7">
        <v>881.0</v>
      </c>
      <c r="F30" s="7">
        <v>2152.0</v>
      </c>
      <c r="G30" s="7">
        <v>2358.0</v>
      </c>
      <c r="H30" s="7">
        <v>368.0</v>
      </c>
      <c r="I30" s="7">
        <v>1083.0</v>
      </c>
      <c r="J30" s="7">
        <v>647.0</v>
      </c>
      <c r="K30" s="7">
        <v>170.0</v>
      </c>
      <c r="L30" s="7">
        <f t="shared" si="22"/>
        <v>8007</v>
      </c>
      <c r="M30" s="77">
        <f t="shared" ref="M30:P30" si="28">D30+H30</f>
        <v>716</v>
      </c>
      <c r="N30" s="77">
        <f t="shared" si="28"/>
        <v>1964</v>
      </c>
      <c r="O30" s="77">
        <f t="shared" si="28"/>
        <v>2799</v>
      </c>
      <c r="P30" s="77">
        <f t="shared" si="28"/>
        <v>2528</v>
      </c>
      <c r="Q30" s="77">
        <f t="shared" si="4"/>
        <v>8007</v>
      </c>
    </row>
    <row r="31" ht="20.25" customHeight="1">
      <c r="A31" s="38"/>
      <c r="B31" s="4">
        <v>6107.0</v>
      </c>
      <c r="C31" s="5" t="s">
        <v>41</v>
      </c>
      <c r="D31" s="7">
        <v>272.0</v>
      </c>
      <c r="E31" s="7">
        <v>1007.0</v>
      </c>
      <c r="F31" s="7">
        <v>3145.0</v>
      </c>
      <c r="G31" s="7">
        <v>3705.0</v>
      </c>
      <c r="H31" s="7">
        <v>545.0</v>
      </c>
      <c r="I31" s="7">
        <v>1667.0</v>
      </c>
      <c r="J31" s="7">
        <v>1304.0</v>
      </c>
      <c r="K31" s="7">
        <v>588.0</v>
      </c>
      <c r="L31" s="7">
        <f t="shared" si="22"/>
        <v>12233</v>
      </c>
      <c r="M31" s="77">
        <f t="shared" ref="M31:P31" si="29">D31+H31</f>
        <v>817</v>
      </c>
      <c r="N31" s="77">
        <f t="shared" si="29"/>
        <v>2674</v>
      </c>
      <c r="O31" s="77">
        <f t="shared" si="29"/>
        <v>4449</v>
      </c>
      <c r="P31" s="77">
        <f t="shared" si="29"/>
        <v>4293</v>
      </c>
      <c r="Q31" s="77">
        <f t="shared" si="4"/>
        <v>12233</v>
      </c>
    </row>
    <row r="32" ht="20.25" customHeight="1">
      <c r="A32" s="38"/>
      <c r="B32" s="4">
        <v>6108.0</v>
      </c>
      <c r="C32" s="5" t="s">
        <v>42</v>
      </c>
      <c r="D32" s="7">
        <v>676.0</v>
      </c>
      <c r="E32" s="7">
        <v>1334.0</v>
      </c>
      <c r="F32" s="7">
        <v>2605.0</v>
      </c>
      <c r="G32" s="7">
        <v>5679.0</v>
      </c>
      <c r="H32" s="7">
        <v>1729.0</v>
      </c>
      <c r="I32" s="7">
        <v>3541.0</v>
      </c>
      <c r="J32" s="7">
        <v>2538.0</v>
      </c>
      <c r="K32" s="7">
        <v>1056.0</v>
      </c>
      <c r="L32" s="7">
        <f t="shared" si="22"/>
        <v>19158</v>
      </c>
      <c r="M32" s="77">
        <f t="shared" ref="M32:P32" si="30">D32+H32</f>
        <v>2405</v>
      </c>
      <c r="N32" s="77">
        <f t="shared" si="30"/>
        <v>4875</v>
      </c>
      <c r="O32" s="77">
        <f t="shared" si="30"/>
        <v>5143</v>
      </c>
      <c r="P32" s="77">
        <f t="shared" si="30"/>
        <v>6735</v>
      </c>
      <c r="Q32" s="77">
        <f t="shared" si="4"/>
        <v>19158</v>
      </c>
    </row>
    <row r="33" ht="20.25" customHeight="1">
      <c r="A33" s="38"/>
      <c r="B33" s="4">
        <v>6109.0</v>
      </c>
      <c r="C33" s="5" t="s">
        <v>43</v>
      </c>
      <c r="D33" s="7">
        <v>370.0</v>
      </c>
      <c r="E33" s="7">
        <v>949.0</v>
      </c>
      <c r="F33" s="7">
        <v>1834.0</v>
      </c>
      <c r="G33" s="7">
        <v>3380.0</v>
      </c>
      <c r="H33" s="7">
        <v>548.0</v>
      </c>
      <c r="I33" s="7">
        <v>1454.0</v>
      </c>
      <c r="J33" s="7">
        <v>964.0</v>
      </c>
      <c r="K33" s="7">
        <v>471.0</v>
      </c>
      <c r="L33" s="7">
        <f t="shared" si="22"/>
        <v>9970</v>
      </c>
      <c r="M33" s="77">
        <f t="shared" ref="M33:P33" si="31">D33+H33</f>
        <v>918</v>
      </c>
      <c r="N33" s="77">
        <f t="shared" si="31"/>
        <v>2403</v>
      </c>
      <c r="O33" s="77">
        <f t="shared" si="31"/>
        <v>2798</v>
      </c>
      <c r="P33" s="77">
        <f t="shared" si="31"/>
        <v>3851</v>
      </c>
      <c r="Q33" s="77">
        <f t="shared" si="4"/>
        <v>9970</v>
      </c>
    </row>
    <row r="34" ht="20.25" customHeight="1">
      <c r="A34" s="38"/>
      <c r="B34" s="4">
        <v>6110.0</v>
      </c>
      <c r="C34" s="5" t="s">
        <v>44</v>
      </c>
      <c r="D34" s="7">
        <v>484.0</v>
      </c>
      <c r="E34" s="7">
        <v>1530.0</v>
      </c>
      <c r="F34" s="7">
        <v>3142.0</v>
      </c>
      <c r="G34" s="7">
        <v>5019.0</v>
      </c>
      <c r="H34" s="7">
        <v>1086.0</v>
      </c>
      <c r="I34" s="7">
        <v>4486.0</v>
      </c>
      <c r="J34" s="7">
        <v>3352.0</v>
      </c>
      <c r="K34" s="7">
        <v>1055.0</v>
      </c>
      <c r="L34" s="7">
        <f t="shared" si="22"/>
        <v>20154</v>
      </c>
      <c r="M34" s="77">
        <f t="shared" ref="M34:P34" si="32">D34+H34</f>
        <v>1570</v>
      </c>
      <c r="N34" s="77">
        <f t="shared" si="32"/>
        <v>6016</v>
      </c>
      <c r="O34" s="77">
        <f t="shared" si="32"/>
        <v>6494</v>
      </c>
      <c r="P34" s="77">
        <f t="shared" si="32"/>
        <v>6074</v>
      </c>
      <c r="Q34" s="77">
        <f t="shared" si="4"/>
        <v>20154</v>
      </c>
    </row>
    <row r="35" ht="20.25" customHeight="1">
      <c r="A35" s="38"/>
      <c r="B35" s="4">
        <v>6111.0</v>
      </c>
      <c r="C35" s="5" t="s">
        <v>45</v>
      </c>
      <c r="D35" s="7">
        <v>310.0</v>
      </c>
      <c r="E35" s="7">
        <v>1446.0</v>
      </c>
      <c r="F35" s="7">
        <v>2190.0</v>
      </c>
      <c r="G35" s="7">
        <v>3621.0</v>
      </c>
      <c r="H35" s="7">
        <v>717.0</v>
      </c>
      <c r="I35" s="7">
        <v>2296.0</v>
      </c>
      <c r="J35" s="7">
        <v>1374.0</v>
      </c>
      <c r="K35" s="7">
        <v>457.0</v>
      </c>
      <c r="L35" s="7">
        <f t="shared" si="22"/>
        <v>12411</v>
      </c>
      <c r="M35" s="85">
        <f t="shared" ref="M35:P35" si="33">D35+H35</f>
        <v>1027</v>
      </c>
      <c r="N35" s="85">
        <f t="shared" si="33"/>
        <v>3742</v>
      </c>
      <c r="O35" s="85">
        <f t="shared" si="33"/>
        <v>3564</v>
      </c>
      <c r="P35" s="85">
        <f t="shared" si="33"/>
        <v>4078</v>
      </c>
      <c r="Q35" s="85">
        <f t="shared" si="4"/>
        <v>12411</v>
      </c>
      <c r="R35" s="86"/>
      <c r="S35" s="86"/>
      <c r="T35" s="86"/>
      <c r="U35" s="86"/>
      <c r="V35" s="86"/>
      <c r="W35" s="86"/>
      <c r="X35" s="86"/>
      <c r="Y35" s="86"/>
      <c r="Z35" s="86"/>
    </row>
    <row r="36" ht="20.25" customHeight="1">
      <c r="A36" s="38"/>
      <c r="B36" s="4">
        <v>6112.0</v>
      </c>
      <c r="C36" s="44" t="s">
        <v>46</v>
      </c>
      <c r="D36" s="83">
        <v>353.0</v>
      </c>
      <c r="E36" s="83">
        <v>844.0</v>
      </c>
      <c r="F36" s="83">
        <v>1725.0</v>
      </c>
      <c r="G36" s="83">
        <v>2928.0</v>
      </c>
      <c r="H36" s="83">
        <v>648.0</v>
      </c>
      <c r="I36" s="83">
        <v>2185.0</v>
      </c>
      <c r="J36" s="83">
        <v>890.0</v>
      </c>
      <c r="K36" s="83">
        <v>299.0</v>
      </c>
      <c r="L36" s="83">
        <f t="shared" si="22"/>
        <v>9872</v>
      </c>
      <c r="M36" s="85">
        <f t="shared" ref="M36:P36" si="34">D36+H36</f>
        <v>1001</v>
      </c>
      <c r="N36" s="85">
        <f t="shared" si="34"/>
        <v>3029</v>
      </c>
      <c r="O36" s="85">
        <f t="shared" si="34"/>
        <v>2615</v>
      </c>
      <c r="P36" s="85">
        <f t="shared" si="34"/>
        <v>3227</v>
      </c>
      <c r="Q36" s="85">
        <f t="shared" si="4"/>
        <v>9872</v>
      </c>
    </row>
    <row r="37" ht="20.25" customHeight="1">
      <c r="A37" s="38"/>
      <c r="B37" s="4">
        <v>6113.0</v>
      </c>
      <c r="C37" s="44" t="s">
        <v>47</v>
      </c>
      <c r="D37" s="83">
        <v>277.0</v>
      </c>
      <c r="E37" s="83">
        <v>1028.0</v>
      </c>
      <c r="F37" s="83">
        <v>2774.0</v>
      </c>
      <c r="G37" s="83">
        <v>4116.0</v>
      </c>
      <c r="H37" s="83">
        <v>1946.0</v>
      </c>
      <c r="I37" s="83">
        <v>5065.0</v>
      </c>
      <c r="J37" s="83">
        <v>2592.0</v>
      </c>
      <c r="K37" s="83">
        <v>675.0</v>
      </c>
      <c r="L37" s="83">
        <f t="shared" si="22"/>
        <v>18473</v>
      </c>
      <c r="M37" s="85">
        <f t="shared" ref="M37:P37" si="35">D37+H37</f>
        <v>2223</v>
      </c>
      <c r="N37" s="85">
        <f t="shared" si="35"/>
        <v>6093</v>
      </c>
      <c r="O37" s="85">
        <f t="shared" si="35"/>
        <v>5366</v>
      </c>
      <c r="P37" s="85">
        <f t="shared" si="35"/>
        <v>4791</v>
      </c>
      <c r="Q37" s="85">
        <f t="shared" si="4"/>
        <v>18473</v>
      </c>
    </row>
    <row r="38" ht="20.25" customHeight="1">
      <c r="A38" s="38"/>
      <c r="B38" s="4">
        <v>6114.0</v>
      </c>
      <c r="C38" s="44" t="s">
        <v>48</v>
      </c>
      <c r="D38" s="83">
        <v>223.0</v>
      </c>
      <c r="E38" s="83">
        <v>611.0</v>
      </c>
      <c r="F38" s="83">
        <v>3006.0</v>
      </c>
      <c r="G38" s="83">
        <v>3821.0</v>
      </c>
      <c r="H38" s="83">
        <v>373.0</v>
      </c>
      <c r="I38" s="83">
        <v>1601.0</v>
      </c>
      <c r="J38" s="83">
        <v>1375.0</v>
      </c>
      <c r="K38" s="83">
        <v>341.0</v>
      </c>
      <c r="L38" s="83">
        <f t="shared" si="22"/>
        <v>11351</v>
      </c>
      <c r="M38" s="85">
        <f t="shared" ref="M38:P38" si="36">D38+H38</f>
        <v>596</v>
      </c>
      <c r="N38" s="85">
        <f t="shared" si="36"/>
        <v>2212</v>
      </c>
      <c r="O38" s="85">
        <f t="shared" si="36"/>
        <v>4381</v>
      </c>
      <c r="P38" s="85">
        <f t="shared" si="36"/>
        <v>4162</v>
      </c>
      <c r="Q38" s="85">
        <f t="shared" si="4"/>
        <v>11351</v>
      </c>
    </row>
    <row r="39" ht="20.25" customHeight="1">
      <c r="A39" s="38"/>
      <c r="B39" s="4">
        <v>6115.0</v>
      </c>
      <c r="C39" s="44" t="s">
        <v>49</v>
      </c>
      <c r="D39" s="83">
        <v>477.0</v>
      </c>
      <c r="E39" s="83">
        <v>1114.0</v>
      </c>
      <c r="F39" s="83">
        <v>2967.0</v>
      </c>
      <c r="G39" s="83">
        <v>3587.0</v>
      </c>
      <c r="H39" s="83">
        <v>377.0</v>
      </c>
      <c r="I39" s="83">
        <v>1650.0</v>
      </c>
      <c r="J39" s="83">
        <v>1325.0</v>
      </c>
      <c r="K39" s="83">
        <v>243.0</v>
      </c>
      <c r="L39" s="83">
        <f t="shared" si="22"/>
        <v>11740</v>
      </c>
      <c r="M39" s="85">
        <f t="shared" ref="M39:P39" si="37">D39+H39</f>
        <v>854</v>
      </c>
      <c r="N39" s="85">
        <f t="shared" si="37"/>
        <v>2764</v>
      </c>
      <c r="O39" s="85">
        <f t="shared" si="37"/>
        <v>4292</v>
      </c>
      <c r="P39" s="85">
        <f t="shared" si="37"/>
        <v>3830</v>
      </c>
      <c r="Q39" s="85">
        <f t="shared" si="4"/>
        <v>11740</v>
      </c>
    </row>
    <row r="40" ht="20.25" customHeight="1">
      <c r="A40" s="38"/>
      <c r="B40" s="4">
        <v>6116.0</v>
      </c>
      <c r="C40" s="5" t="s">
        <v>50</v>
      </c>
      <c r="D40" s="7">
        <v>883.0</v>
      </c>
      <c r="E40" s="7">
        <v>1313.0</v>
      </c>
      <c r="F40" s="7">
        <v>2214.0</v>
      </c>
      <c r="G40" s="7">
        <v>3513.0</v>
      </c>
      <c r="H40" s="7">
        <v>645.0</v>
      </c>
      <c r="I40" s="7">
        <v>1991.0</v>
      </c>
      <c r="J40" s="7">
        <v>1156.0</v>
      </c>
      <c r="K40" s="7">
        <v>373.0</v>
      </c>
      <c r="L40" s="7">
        <f t="shared" si="22"/>
        <v>12088</v>
      </c>
      <c r="M40" s="77">
        <f t="shared" ref="M40:P40" si="38">D40+H40</f>
        <v>1528</v>
      </c>
      <c r="N40" s="77">
        <f t="shared" si="38"/>
        <v>3304</v>
      </c>
      <c r="O40" s="77">
        <f t="shared" si="38"/>
        <v>3370</v>
      </c>
      <c r="P40" s="77">
        <f t="shared" si="38"/>
        <v>3886</v>
      </c>
      <c r="Q40" s="77">
        <f t="shared" si="4"/>
        <v>12088</v>
      </c>
    </row>
    <row r="41" ht="20.25" customHeight="1">
      <c r="A41" s="38"/>
      <c r="B41" s="87">
        <v>6117.0</v>
      </c>
      <c r="C41" s="88" t="s">
        <v>51</v>
      </c>
      <c r="D41" s="90">
        <v>205.0</v>
      </c>
      <c r="E41" s="90">
        <v>904.0</v>
      </c>
      <c r="F41" s="90">
        <v>1493.0</v>
      </c>
      <c r="G41" s="90">
        <v>2498.0</v>
      </c>
      <c r="H41" s="90">
        <v>343.0</v>
      </c>
      <c r="I41" s="90">
        <v>1340.0</v>
      </c>
      <c r="J41" s="90">
        <v>1227.0</v>
      </c>
      <c r="K41" s="90">
        <v>463.0</v>
      </c>
      <c r="L41" s="90">
        <f t="shared" si="22"/>
        <v>8473</v>
      </c>
      <c r="M41" s="92">
        <f t="shared" ref="M41:P41" si="39">D41+H41</f>
        <v>548</v>
      </c>
      <c r="N41" s="92">
        <f t="shared" si="39"/>
        <v>2244</v>
      </c>
      <c r="O41" s="92">
        <f t="shared" si="39"/>
        <v>2720</v>
      </c>
      <c r="P41" s="92">
        <f t="shared" si="39"/>
        <v>2961</v>
      </c>
      <c r="Q41" s="92">
        <f t="shared" si="4"/>
        <v>8473</v>
      </c>
    </row>
    <row r="42" ht="20.25" customHeight="1">
      <c r="A42" s="38"/>
      <c r="B42" s="4">
        <v>6118.0</v>
      </c>
      <c r="C42" s="5" t="s">
        <v>52</v>
      </c>
      <c r="D42" s="7">
        <v>403.0</v>
      </c>
      <c r="E42" s="7">
        <v>1083.0</v>
      </c>
      <c r="F42" s="7">
        <v>496.0</v>
      </c>
      <c r="G42" s="7">
        <v>854.0</v>
      </c>
      <c r="H42" s="7">
        <v>262.0</v>
      </c>
      <c r="I42" s="7">
        <v>1034.0</v>
      </c>
      <c r="J42" s="7">
        <v>401.0</v>
      </c>
      <c r="K42" s="7">
        <v>143.0</v>
      </c>
      <c r="L42" s="7">
        <f t="shared" si="22"/>
        <v>4676</v>
      </c>
      <c r="M42" s="77">
        <f t="shared" ref="M42:P42" si="40">D42+H42</f>
        <v>665</v>
      </c>
      <c r="N42" s="77">
        <f t="shared" si="40"/>
        <v>2117</v>
      </c>
      <c r="O42" s="77">
        <f t="shared" si="40"/>
        <v>897</v>
      </c>
      <c r="P42" s="77">
        <f t="shared" si="40"/>
        <v>997</v>
      </c>
      <c r="Q42" s="77">
        <f t="shared" si="4"/>
        <v>4676</v>
      </c>
    </row>
    <row r="43" ht="20.25" customHeight="1">
      <c r="A43" s="38"/>
      <c r="B43" s="4">
        <v>6171.0</v>
      </c>
      <c r="C43" s="5" t="s">
        <v>53</v>
      </c>
      <c r="D43" s="7">
        <v>547.0</v>
      </c>
      <c r="E43" s="7">
        <v>1857.0</v>
      </c>
      <c r="F43" s="7">
        <v>3047.0</v>
      </c>
      <c r="G43" s="7">
        <v>4745.0</v>
      </c>
      <c r="H43" s="7">
        <v>1251.0</v>
      </c>
      <c r="I43" s="7">
        <v>2356.0</v>
      </c>
      <c r="J43" s="7">
        <v>1672.0</v>
      </c>
      <c r="K43" s="7">
        <v>551.0</v>
      </c>
      <c r="L43" s="7">
        <f t="shared" si="22"/>
        <v>16026</v>
      </c>
      <c r="M43" s="77">
        <f t="shared" ref="M43:P43" si="41">D43+H43</f>
        <v>1798</v>
      </c>
      <c r="N43" s="77">
        <f t="shared" si="41"/>
        <v>4213</v>
      </c>
      <c r="O43" s="77">
        <f t="shared" si="41"/>
        <v>4719</v>
      </c>
      <c r="P43" s="77">
        <f t="shared" si="41"/>
        <v>5296</v>
      </c>
      <c r="Q43" s="77">
        <f t="shared" si="4"/>
        <v>16026</v>
      </c>
    </row>
    <row r="44" ht="20.25" customHeight="1">
      <c r="A44" s="38"/>
      <c r="B44" s="4">
        <v>6172.0</v>
      </c>
      <c r="C44" s="5" t="s">
        <v>54</v>
      </c>
      <c r="D44" s="7">
        <v>358.0</v>
      </c>
      <c r="E44" s="7">
        <v>858.0</v>
      </c>
      <c r="F44" s="7">
        <v>1863.0</v>
      </c>
      <c r="G44" s="7">
        <v>2340.0</v>
      </c>
      <c r="H44" s="7">
        <v>767.0</v>
      </c>
      <c r="I44" s="7">
        <v>935.0</v>
      </c>
      <c r="J44" s="7">
        <v>554.0</v>
      </c>
      <c r="K44" s="7">
        <v>160.0</v>
      </c>
      <c r="L44" s="7">
        <f t="shared" si="22"/>
        <v>7835</v>
      </c>
      <c r="M44" s="77">
        <f t="shared" ref="M44:P44" si="42">D44+H44</f>
        <v>1125</v>
      </c>
      <c r="N44" s="77">
        <f t="shared" si="42"/>
        <v>1793</v>
      </c>
      <c r="O44" s="77">
        <f t="shared" si="42"/>
        <v>2417</v>
      </c>
      <c r="P44" s="77">
        <f t="shared" si="42"/>
        <v>2500</v>
      </c>
      <c r="Q44" s="77">
        <f t="shared" si="4"/>
        <v>7835</v>
      </c>
    </row>
    <row r="45" ht="20.25" customHeight="1">
      <c r="A45" s="38"/>
      <c r="B45" s="4">
        <v>6173.0</v>
      </c>
      <c r="C45" s="5" t="s">
        <v>55</v>
      </c>
      <c r="D45" s="7">
        <v>159.0</v>
      </c>
      <c r="E45" s="7">
        <v>472.0</v>
      </c>
      <c r="F45" s="7">
        <v>1196.0</v>
      </c>
      <c r="G45" s="7">
        <v>959.0</v>
      </c>
      <c r="H45" s="7">
        <v>136.0</v>
      </c>
      <c r="I45" s="7">
        <v>373.0</v>
      </c>
      <c r="J45" s="7">
        <v>287.0</v>
      </c>
      <c r="K45" s="7">
        <v>60.0</v>
      </c>
      <c r="L45" s="7">
        <f t="shared" si="22"/>
        <v>3642</v>
      </c>
      <c r="M45" s="77">
        <f t="shared" ref="M45:P45" si="43">D45+H45</f>
        <v>295</v>
      </c>
      <c r="N45" s="77">
        <f t="shared" si="43"/>
        <v>845</v>
      </c>
      <c r="O45" s="77">
        <f t="shared" si="43"/>
        <v>1483</v>
      </c>
      <c r="P45" s="77">
        <f t="shared" si="43"/>
        <v>1019</v>
      </c>
      <c r="Q45" s="77">
        <f t="shared" si="4"/>
        <v>3642</v>
      </c>
    </row>
    <row r="46" ht="20.25" customHeight="1">
      <c r="A46" s="38"/>
      <c r="B46" s="4">
        <v>6174.0</v>
      </c>
      <c r="C46" s="5" t="s">
        <v>56</v>
      </c>
      <c r="D46" s="7">
        <v>272.0</v>
      </c>
      <c r="E46" s="7">
        <v>663.0</v>
      </c>
      <c r="F46" s="7">
        <v>1315.0</v>
      </c>
      <c r="G46" s="7">
        <v>1490.0</v>
      </c>
      <c r="H46" s="7">
        <v>549.0</v>
      </c>
      <c r="I46" s="7">
        <v>928.0</v>
      </c>
      <c r="J46" s="7">
        <v>447.0</v>
      </c>
      <c r="K46" s="7">
        <v>108.0</v>
      </c>
      <c r="L46" s="7">
        <f t="shared" si="22"/>
        <v>5772</v>
      </c>
      <c r="M46" s="77">
        <f t="shared" ref="M46:P46" si="44">D46+H46</f>
        <v>821</v>
      </c>
      <c r="N46" s="77">
        <f t="shared" si="44"/>
        <v>1591</v>
      </c>
      <c r="O46" s="77">
        <f t="shared" si="44"/>
        <v>1762</v>
      </c>
      <c r="P46" s="77">
        <f t="shared" si="44"/>
        <v>1598</v>
      </c>
      <c r="Q46" s="77">
        <f t="shared" si="4"/>
        <v>5772</v>
      </c>
    </row>
    <row r="47" ht="20.25" customHeight="1">
      <c r="A47" s="38"/>
      <c r="B47" s="4">
        <v>6175.0</v>
      </c>
      <c r="C47" s="5" t="s">
        <v>57</v>
      </c>
      <c r="D47" s="7">
        <v>255.0</v>
      </c>
      <c r="E47" s="7">
        <v>900.0</v>
      </c>
      <c r="F47" s="7">
        <v>2911.0</v>
      </c>
      <c r="G47" s="7">
        <v>3580.0</v>
      </c>
      <c r="H47" s="7">
        <v>1692.0</v>
      </c>
      <c r="I47" s="7">
        <v>5277.0</v>
      </c>
      <c r="J47" s="7">
        <v>3632.0</v>
      </c>
      <c r="K47" s="7">
        <v>1000.0</v>
      </c>
      <c r="L47" s="7">
        <f t="shared" si="22"/>
        <v>19247</v>
      </c>
      <c r="M47" s="77">
        <f t="shared" ref="M47:P47" si="45">D47+H47</f>
        <v>1947</v>
      </c>
      <c r="N47" s="77">
        <f t="shared" si="45"/>
        <v>6177</v>
      </c>
      <c r="O47" s="77">
        <f t="shared" si="45"/>
        <v>6543</v>
      </c>
      <c r="P47" s="77">
        <f t="shared" si="45"/>
        <v>4580</v>
      </c>
      <c r="Q47" s="77">
        <f t="shared" si="4"/>
        <v>19247</v>
      </c>
    </row>
    <row r="48" ht="20.25" customHeight="1">
      <c r="A48" s="38"/>
      <c r="B48" s="4">
        <v>6176.0</v>
      </c>
      <c r="C48" s="5" t="s">
        <v>58</v>
      </c>
      <c r="D48" s="7">
        <v>350.0</v>
      </c>
      <c r="E48" s="7">
        <v>1176.0</v>
      </c>
      <c r="F48" s="7">
        <v>1914.0</v>
      </c>
      <c r="G48" s="7">
        <v>1873.0</v>
      </c>
      <c r="H48" s="7">
        <v>279.0</v>
      </c>
      <c r="I48" s="7">
        <v>728.0</v>
      </c>
      <c r="J48" s="7">
        <v>652.0</v>
      </c>
      <c r="K48" s="7">
        <v>270.0</v>
      </c>
      <c r="L48" s="7">
        <f t="shared" si="22"/>
        <v>7242</v>
      </c>
      <c r="M48" s="77">
        <f t="shared" ref="M48:P48" si="46">D48+H48</f>
        <v>629</v>
      </c>
      <c r="N48" s="77">
        <f t="shared" si="46"/>
        <v>1904</v>
      </c>
      <c r="O48" s="77">
        <f t="shared" si="46"/>
        <v>2566</v>
      </c>
      <c r="P48" s="77">
        <f t="shared" si="46"/>
        <v>2143</v>
      </c>
      <c r="Q48" s="77">
        <f t="shared" si="4"/>
        <v>7242</v>
      </c>
    </row>
    <row r="49" ht="20.25" customHeight="1">
      <c r="A49" s="38"/>
      <c r="B49" s="4">
        <v>6177.0</v>
      </c>
      <c r="C49" s="5" t="s">
        <v>59</v>
      </c>
      <c r="D49" s="7">
        <v>206.0</v>
      </c>
      <c r="E49" s="7">
        <v>625.0</v>
      </c>
      <c r="F49" s="7">
        <v>1410.0</v>
      </c>
      <c r="G49" s="7">
        <v>1174.0</v>
      </c>
      <c r="H49" s="7">
        <v>874.0</v>
      </c>
      <c r="I49" s="7">
        <v>1034.0</v>
      </c>
      <c r="J49" s="7">
        <v>768.0</v>
      </c>
      <c r="K49" s="7">
        <v>220.0</v>
      </c>
      <c r="L49" s="7">
        <f t="shared" si="22"/>
        <v>6311</v>
      </c>
      <c r="M49" s="77">
        <f t="shared" ref="M49:P49" si="47">D49+H49</f>
        <v>1080</v>
      </c>
      <c r="N49" s="77">
        <f t="shared" si="47"/>
        <v>1659</v>
      </c>
      <c r="O49" s="77">
        <f t="shared" si="47"/>
        <v>2178</v>
      </c>
      <c r="P49" s="77">
        <f t="shared" si="47"/>
        <v>1394</v>
      </c>
      <c r="Q49" s="77">
        <f t="shared" si="4"/>
        <v>6311</v>
      </c>
    </row>
    <row r="50" ht="20.25" customHeight="1">
      <c r="A50" s="38"/>
      <c r="B50" s="4">
        <v>6178.0</v>
      </c>
      <c r="C50" s="5" t="s">
        <v>60</v>
      </c>
      <c r="D50" s="7">
        <v>300.0</v>
      </c>
      <c r="E50" s="7">
        <v>942.0</v>
      </c>
      <c r="F50" s="7">
        <v>1864.0</v>
      </c>
      <c r="G50" s="7">
        <v>1895.0</v>
      </c>
      <c r="H50" s="7">
        <v>284.0</v>
      </c>
      <c r="I50" s="7">
        <v>696.0</v>
      </c>
      <c r="J50" s="7">
        <v>368.0</v>
      </c>
      <c r="K50" s="7">
        <v>117.0</v>
      </c>
      <c r="L50" s="7">
        <f t="shared" si="22"/>
        <v>6466</v>
      </c>
      <c r="M50" s="77">
        <f t="shared" ref="M50:P50" si="48">D50+H50</f>
        <v>584</v>
      </c>
      <c r="N50" s="77">
        <f t="shared" si="48"/>
        <v>1638</v>
      </c>
      <c r="O50" s="77">
        <f t="shared" si="48"/>
        <v>2232</v>
      </c>
      <c r="P50" s="77">
        <f t="shared" si="48"/>
        <v>2012</v>
      </c>
      <c r="Q50" s="77">
        <f t="shared" si="4"/>
        <v>6466</v>
      </c>
    </row>
    <row r="51" ht="20.25" customHeight="1">
      <c r="A51" s="38"/>
      <c r="B51" s="4">
        <v>6179.0</v>
      </c>
      <c r="C51" s="5" t="s">
        <v>61</v>
      </c>
      <c r="D51" s="7">
        <v>295.0</v>
      </c>
      <c r="E51" s="7">
        <v>675.0</v>
      </c>
      <c r="F51" s="7">
        <v>994.0</v>
      </c>
      <c r="G51" s="7">
        <v>647.0</v>
      </c>
      <c r="H51" s="7">
        <v>390.0</v>
      </c>
      <c r="I51" s="7">
        <v>1069.0</v>
      </c>
      <c r="J51" s="7">
        <v>622.0</v>
      </c>
      <c r="K51" s="7">
        <v>169.0</v>
      </c>
      <c r="L51" s="7">
        <f t="shared" si="22"/>
        <v>4861</v>
      </c>
      <c r="M51" s="77">
        <f t="shared" ref="M51:P51" si="49">D51+H51</f>
        <v>685</v>
      </c>
      <c r="N51" s="77">
        <f t="shared" si="49"/>
        <v>1744</v>
      </c>
      <c r="O51" s="77">
        <f t="shared" si="49"/>
        <v>1616</v>
      </c>
      <c r="P51" s="77">
        <f t="shared" si="49"/>
        <v>816</v>
      </c>
      <c r="Q51" s="77">
        <f t="shared" si="4"/>
        <v>4861</v>
      </c>
    </row>
    <row r="52" ht="20.25" customHeight="1">
      <c r="A52" s="38"/>
      <c r="B52" s="24" t="s">
        <v>62</v>
      </c>
      <c r="C52" s="25"/>
      <c r="D52" s="26">
        <f t="shared" ref="D52:L52" si="50">SUM(D24:D51)</f>
        <v>11965</v>
      </c>
      <c r="E52" s="26">
        <f t="shared" si="50"/>
        <v>32322</v>
      </c>
      <c r="F52" s="26">
        <f t="shared" si="50"/>
        <v>69851</v>
      </c>
      <c r="G52" s="26">
        <f t="shared" si="50"/>
        <v>96773</v>
      </c>
      <c r="H52" s="26">
        <f t="shared" si="50"/>
        <v>26247</v>
      </c>
      <c r="I52" s="26">
        <f t="shared" si="50"/>
        <v>77131</v>
      </c>
      <c r="J52" s="26">
        <f t="shared" si="50"/>
        <v>49294</v>
      </c>
      <c r="K52" s="26">
        <f t="shared" si="50"/>
        <v>15161</v>
      </c>
      <c r="L52" s="26">
        <f t="shared" si="50"/>
        <v>378744</v>
      </c>
      <c r="M52" s="81">
        <f t="shared" ref="M52:P52" si="51">D52+H52</f>
        <v>38212</v>
      </c>
      <c r="N52" s="81">
        <f t="shared" si="51"/>
        <v>109453</v>
      </c>
      <c r="O52" s="81">
        <f t="shared" si="51"/>
        <v>119145</v>
      </c>
      <c r="P52" s="81">
        <f t="shared" si="51"/>
        <v>111934</v>
      </c>
      <c r="Q52" s="81">
        <f t="shared" si="4"/>
        <v>378744</v>
      </c>
    </row>
    <row r="53" ht="20.25" customHeight="1">
      <c r="A53" s="38"/>
      <c r="B53" s="17">
        <v>6200.0</v>
      </c>
      <c r="C53" s="18" t="s">
        <v>63</v>
      </c>
      <c r="D53" s="20">
        <v>174.0</v>
      </c>
      <c r="E53" s="20">
        <v>1077.0</v>
      </c>
      <c r="F53" s="20">
        <v>3807.0</v>
      </c>
      <c r="G53" s="20">
        <v>3222.0</v>
      </c>
      <c r="H53" s="20">
        <v>2380.0</v>
      </c>
      <c r="I53" s="20">
        <v>6214.0</v>
      </c>
      <c r="J53" s="20">
        <v>3868.0</v>
      </c>
      <c r="K53" s="20">
        <v>913.0</v>
      </c>
      <c r="L53" s="20">
        <f t="shared" ref="L53:L61" si="53">SUM(D53:K53)</f>
        <v>21655</v>
      </c>
      <c r="M53" s="97">
        <f t="shared" ref="M53:P53" si="52">D53+H53</f>
        <v>2554</v>
      </c>
      <c r="N53" s="97">
        <f t="shared" si="52"/>
        <v>7291</v>
      </c>
      <c r="O53" s="97">
        <f t="shared" si="52"/>
        <v>7675</v>
      </c>
      <c r="P53" s="97">
        <f t="shared" si="52"/>
        <v>4135</v>
      </c>
      <c r="Q53" s="97">
        <f t="shared" si="4"/>
        <v>21655</v>
      </c>
    </row>
    <row r="54" ht="20.25" customHeight="1">
      <c r="A54" s="38"/>
      <c r="B54" s="17">
        <v>6201.0</v>
      </c>
      <c r="C54" s="18" t="s">
        <v>64</v>
      </c>
      <c r="D54" s="20">
        <v>291.0</v>
      </c>
      <c r="E54" s="20">
        <v>1189.0</v>
      </c>
      <c r="F54" s="20">
        <v>2940.0</v>
      </c>
      <c r="G54" s="20">
        <v>3118.0</v>
      </c>
      <c r="H54" s="20">
        <v>260.0</v>
      </c>
      <c r="I54" s="20">
        <v>1101.0</v>
      </c>
      <c r="J54" s="20">
        <v>1084.0</v>
      </c>
      <c r="K54" s="20">
        <v>188.0</v>
      </c>
      <c r="L54" s="20">
        <f t="shared" si="53"/>
        <v>10171</v>
      </c>
      <c r="M54" s="97">
        <f t="shared" ref="M54:P54" si="54">D54+H54</f>
        <v>551</v>
      </c>
      <c r="N54" s="97">
        <f t="shared" si="54"/>
        <v>2290</v>
      </c>
      <c r="O54" s="97">
        <f t="shared" si="54"/>
        <v>4024</v>
      </c>
      <c r="P54" s="97">
        <f t="shared" si="54"/>
        <v>3306</v>
      </c>
      <c r="Q54" s="97">
        <f t="shared" si="4"/>
        <v>10171</v>
      </c>
    </row>
    <row r="55" ht="20.25" customHeight="1">
      <c r="A55" s="38"/>
      <c r="B55" s="17">
        <v>6202.0</v>
      </c>
      <c r="C55" s="18" t="s">
        <v>65</v>
      </c>
      <c r="D55" s="20">
        <v>277.0</v>
      </c>
      <c r="E55" s="20">
        <v>989.0</v>
      </c>
      <c r="F55" s="20">
        <v>2660.0</v>
      </c>
      <c r="G55" s="20">
        <v>3469.0</v>
      </c>
      <c r="H55" s="20">
        <v>463.0</v>
      </c>
      <c r="I55" s="20">
        <v>2398.0</v>
      </c>
      <c r="J55" s="20">
        <v>2022.0</v>
      </c>
      <c r="K55" s="20">
        <v>357.0</v>
      </c>
      <c r="L55" s="20">
        <f t="shared" si="53"/>
        <v>12635</v>
      </c>
      <c r="M55" s="97">
        <f t="shared" ref="M55:P55" si="55">D55+H55</f>
        <v>740</v>
      </c>
      <c r="N55" s="97">
        <f t="shared" si="55"/>
        <v>3387</v>
      </c>
      <c r="O55" s="97">
        <f t="shared" si="55"/>
        <v>4682</v>
      </c>
      <c r="P55" s="97">
        <f t="shared" si="55"/>
        <v>3826</v>
      </c>
      <c r="Q55" s="97">
        <f t="shared" si="4"/>
        <v>12635</v>
      </c>
    </row>
    <row r="56" ht="20.25" customHeight="1">
      <c r="A56" s="38"/>
      <c r="B56" s="17">
        <v>6203.0</v>
      </c>
      <c r="C56" s="18" t="s">
        <v>66</v>
      </c>
      <c r="D56" s="20">
        <v>263.0</v>
      </c>
      <c r="E56" s="20">
        <v>1094.0</v>
      </c>
      <c r="F56" s="20">
        <v>2701.0</v>
      </c>
      <c r="G56" s="20">
        <v>3103.0</v>
      </c>
      <c r="H56" s="20">
        <v>684.0</v>
      </c>
      <c r="I56" s="20">
        <v>2762.0</v>
      </c>
      <c r="J56" s="20">
        <v>1451.0</v>
      </c>
      <c r="K56" s="20">
        <v>326.0</v>
      </c>
      <c r="L56" s="20">
        <f t="shared" si="53"/>
        <v>12384</v>
      </c>
      <c r="M56" s="97">
        <f t="shared" ref="M56:P56" si="56">D56+H56</f>
        <v>947</v>
      </c>
      <c r="N56" s="97">
        <f t="shared" si="56"/>
        <v>3856</v>
      </c>
      <c r="O56" s="97">
        <f t="shared" si="56"/>
        <v>4152</v>
      </c>
      <c r="P56" s="97">
        <f t="shared" si="56"/>
        <v>3429</v>
      </c>
      <c r="Q56" s="97">
        <f t="shared" si="4"/>
        <v>12384</v>
      </c>
    </row>
    <row r="57" ht="20.25" customHeight="1">
      <c r="A57" s="38"/>
      <c r="B57" s="4">
        <v>6204.0</v>
      </c>
      <c r="C57" s="5" t="s">
        <v>67</v>
      </c>
      <c r="D57" s="7">
        <v>918.0</v>
      </c>
      <c r="E57" s="7">
        <v>1620.0</v>
      </c>
      <c r="F57" s="7">
        <v>3071.0</v>
      </c>
      <c r="G57" s="7">
        <v>3736.0</v>
      </c>
      <c r="H57" s="7">
        <v>552.0</v>
      </c>
      <c r="I57" s="7">
        <v>2458.0</v>
      </c>
      <c r="J57" s="7">
        <v>2831.0</v>
      </c>
      <c r="K57" s="7">
        <v>674.0</v>
      </c>
      <c r="L57" s="7">
        <f t="shared" si="53"/>
        <v>15860</v>
      </c>
      <c r="M57" s="77">
        <f t="shared" ref="M57:P57" si="57">D57+H57</f>
        <v>1470</v>
      </c>
      <c r="N57" s="77">
        <f t="shared" si="57"/>
        <v>4078</v>
      </c>
      <c r="O57" s="77">
        <f t="shared" si="57"/>
        <v>5902</v>
      </c>
      <c r="P57" s="77">
        <f t="shared" si="57"/>
        <v>4410</v>
      </c>
      <c r="Q57" s="77">
        <f t="shared" si="4"/>
        <v>15860</v>
      </c>
    </row>
    <row r="58" ht="20.25" customHeight="1">
      <c r="A58" s="38"/>
      <c r="B58" s="4">
        <v>6271.0</v>
      </c>
      <c r="C58" s="5" t="s">
        <v>68</v>
      </c>
      <c r="D58" s="7">
        <v>240.0</v>
      </c>
      <c r="E58" s="7">
        <v>947.0</v>
      </c>
      <c r="F58" s="7">
        <v>2195.0</v>
      </c>
      <c r="G58" s="7">
        <v>2753.0</v>
      </c>
      <c r="H58" s="7">
        <v>1577.0</v>
      </c>
      <c r="I58" s="7">
        <v>3078.0</v>
      </c>
      <c r="J58" s="7">
        <v>2314.0</v>
      </c>
      <c r="K58" s="7">
        <v>626.0</v>
      </c>
      <c r="L58" s="7">
        <f t="shared" si="53"/>
        <v>13730</v>
      </c>
      <c r="M58" s="77">
        <f t="shared" ref="M58:P58" si="58">D58+H58</f>
        <v>1817</v>
      </c>
      <c r="N58" s="77">
        <f t="shared" si="58"/>
        <v>4025</v>
      </c>
      <c r="O58" s="77">
        <f t="shared" si="58"/>
        <v>4509</v>
      </c>
      <c r="P58" s="77">
        <f t="shared" si="58"/>
        <v>3379</v>
      </c>
      <c r="Q58" s="77">
        <f t="shared" si="4"/>
        <v>13730</v>
      </c>
    </row>
    <row r="59" ht="20.25" customHeight="1">
      <c r="A59" s="38"/>
      <c r="B59" s="4">
        <v>6272.0</v>
      </c>
      <c r="C59" s="5" t="s">
        <v>69</v>
      </c>
      <c r="D59" s="7">
        <v>130.0</v>
      </c>
      <c r="E59" s="7">
        <v>738.0</v>
      </c>
      <c r="F59" s="7">
        <v>1906.0</v>
      </c>
      <c r="G59" s="7">
        <v>1470.0</v>
      </c>
      <c r="H59" s="7">
        <v>266.0</v>
      </c>
      <c r="I59" s="7">
        <v>751.0</v>
      </c>
      <c r="J59" s="7">
        <v>490.0</v>
      </c>
      <c r="K59" s="7">
        <v>111.0</v>
      </c>
      <c r="L59" s="7">
        <f t="shared" si="53"/>
        <v>5862</v>
      </c>
      <c r="M59" s="77">
        <f t="shared" ref="M59:P59" si="59">D59+H59</f>
        <v>396</v>
      </c>
      <c r="N59" s="77">
        <f t="shared" si="59"/>
        <v>1489</v>
      </c>
      <c r="O59" s="77">
        <f t="shared" si="59"/>
        <v>2396</v>
      </c>
      <c r="P59" s="77">
        <f t="shared" si="59"/>
        <v>1581</v>
      </c>
      <c r="Q59" s="77">
        <f t="shared" si="4"/>
        <v>5862</v>
      </c>
    </row>
    <row r="60" ht="20.25" customHeight="1">
      <c r="A60" s="38"/>
      <c r="B60" s="4">
        <v>6273.0</v>
      </c>
      <c r="C60" s="5" t="s">
        <v>70</v>
      </c>
      <c r="D60" s="7">
        <v>576.0</v>
      </c>
      <c r="E60" s="7">
        <v>818.0</v>
      </c>
      <c r="F60" s="7">
        <v>1217.0</v>
      </c>
      <c r="G60" s="7">
        <v>1280.0</v>
      </c>
      <c r="H60" s="7">
        <v>389.0</v>
      </c>
      <c r="I60" s="7">
        <v>949.0</v>
      </c>
      <c r="J60" s="7">
        <v>507.0</v>
      </c>
      <c r="K60" s="7">
        <v>111.0</v>
      </c>
      <c r="L60" s="7">
        <f t="shared" si="53"/>
        <v>5847</v>
      </c>
      <c r="M60" s="77">
        <f t="shared" ref="M60:P60" si="60">D60+H60</f>
        <v>965</v>
      </c>
      <c r="N60" s="77">
        <f t="shared" si="60"/>
        <v>1767</v>
      </c>
      <c r="O60" s="77">
        <f t="shared" si="60"/>
        <v>1724</v>
      </c>
      <c r="P60" s="77">
        <f t="shared" si="60"/>
        <v>1391</v>
      </c>
      <c r="Q60" s="77">
        <f t="shared" si="4"/>
        <v>5847</v>
      </c>
    </row>
    <row r="61" ht="20.25" customHeight="1">
      <c r="A61" s="3"/>
      <c r="B61" s="4">
        <v>6274.0</v>
      </c>
      <c r="C61" s="5" t="s">
        <v>71</v>
      </c>
      <c r="D61" s="7">
        <v>229.0</v>
      </c>
      <c r="E61" s="7">
        <v>821.0</v>
      </c>
      <c r="F61" s="7">
        <v>1435.0</v>
      </c>
      <c r="G61" s="7">
        <v>1624.0</v>
      </c>
      <c r="H61" s="7">
        <v>2265.0</v>
      </c>
      <c r="I61" s="7">
        <v>4939.0</v>
      </c>
      <c r="J61" s="7">
        <v>3137.0</v>
      </c>
      <c r="K61" s="7">
        <v>956.0</v>
      </c>
      <c r="L61" s="7">
        <f t="shared" si="53"/>
        <v>15406</v>
      </c>
      <c r="M61" s="77">
        <f t="shared" ref="M61:P61" si="61">D61+H61</f>
        <v>2494</v>
      </c>
      <c r="N61" s="77">
        <f t="shared" si="61"/>
        <v>5760</v>
      </c>
      <c r="O61" s="77">
        <f t="shared" si="61"/>
        <v>4572</v>
      </c>
      <c r="P61" s="77">
        <f t="shared" si="61"/>
        <v>2580</v>
      </c>
      <c r="Q61" s="77">
        <f t="shared" si="4"/>
        <v>15406</v>
      </c>
    </row>
    <row r="62" ht="20.25" customHeight="1">
      <c r="A62" s="98"/>
      <c r="B62" s="24" t="s">
        <v>72</v>
      </c>
      <c r="C62" s="25"/>
      <c r="D62" s="26">
        <f t="shared" ref="D62:L62" si="62">SUM(D53:D61)</f>
        <v>3098</v>
      </c>
      <c r="E62" s="26">
        <f t="shared" si="62"/>
        <v>9293</v>
      </c>
      <c r="F62" s="26">
        <f t="shared" si="62"/>
        <v>21932</v>
      </c>
      <c r="G62" s="26">
        <f t="shared" si="62"/>
        <v>23775</v>
      </c>
      <c r="H62" s="26">
        <f t="shared" si="62"/>
        <v>8836</v>
      </c>
      <c r="I62" s="26">
        <f t="shared" si="62"/>
        <v>24650</v>
      </c>
      <c r="J62" s="26">
        <f t="shared" si="62"/>
        <v>17704</v>
      </c>
      <c r="K62" s="26">
        <f t="shared" si="62"/>
        <v>4262</v>
      </c>
      <c r="L62" s="26">
        <f t="shared" si="62"/>
        <v>113550</v>
      </c>
      <c r="M62" s="81">
        <f t="shared" ref="M62:P62" si="63">D62+H62</f>
        <v>11934</v>
      </c>
      <c r="N62" s="81">
        <f t="shared" si="63"/>
        <v>33943</v>
      </c>
      <c r="O62" s="81">
        <f t="shared" si="63"/>
        <v>39636</v>
      </c>
      <c r="P62" s="81">
        <f t="shared" si="63"/>
        <v>28037</v>
      </c>
      <c r="Q62" s="81">
        <f t="shared" si="4"/>
        <v>113550</v>
      </c>
    </row>
    <row r="63" ht="31.5" customHeight="1">
      <c r="A63" s="63" t="s">
        <v>73</v>
      </c>
      <c r="B63" s="64"/>
      <c r="C63" s="25"/>
      <c r="D63" s="122">
        <f t="shared" ref="D63:L63" si="64">D52+D62</f>
        <v>15063</v>
      </c>
      <c r="E63" s="122">
        <f t="shared" si="64"/>
        <v>41615</v>
      </c>
      <c r="F63" s="122">
        <f t="shared" si="64"/>
        <v>91783</v>
      </c>
      <c r="G63" s="122">
        <f t="shared" si="64"/>
        <v>120548</v>
      </c>
      <c r="H63" s="122">
        <f t="shared" si="64"/>
        <v>35083</v>
      </c>
      <c r="I63" s="122">
        <f t="shared" si="64"/>
        <v>101781</v>
      </c>
      <c r="J63" s="122">
        <f t="shared" si="64"/>
        <v>66998</v>
      </c>
      <c r="K63" s="122">
        <f t="shared" si="64"/>
        <v>19423</v>
      </c>
      <c r="L63" s="122">
        <f t="shared" si="64"/>
        <v>492294</v>
      </c>
      <c r="M63" s="101">
        <f t="shared" ref="M63:P63" si="65">D63+H63</f>
        <v>50146</v>
      </c>
      <c r="N63" s="101">
        <f t="shared" si="65"/>
        <v>143396</v>
      </c>
      <c r="O63" s="101">
        <f t="shared" si="65"/>
        <v>158781</v>
      </c>
      <c r="P63" s="101">
        <f t="shared" si="65"/>
        <v>139971</v>
      </c>
      <c r="Q63" s="101">
        <f t="shared" si="4"/>
        <v>492294</v>
      </c>
    </row>
    <row r="64" ht="31.5" customHeight="1">
      <c r="A64" s="65" t="s">
        <v>88</v>
      </c>
      <c r="B64" s="64"/>
      <c r="C64" s="25"/>
      <c r="D64" s="39">
        <f t="shared" ref="D64:L64" si="66">D23+D63</f>
        <v>18288</v>
      </c>
      <c r="E64" s="39">
        <f t="shared" si="66"/>
        <v>47898</v>
      </c>
      <c r="F64" s="39">
        <f t="shared" si="66"/>
        <v>104845</v>
      </c>
      <c r="G64" s="39">
        <f t="shared" si="66"/>
        <v>139911</v>
      </c>
      <c r="H64" s="39">
        <f t="shared" si="66"/>
        <v>35249</v>
      </c>
      <c r="I64" s="39">
        <f t="shared" si="66"/>
        <v>103034</v>
      </c>
      <c r="J64" s="39">
        <f t="shared" si="66"/>
        <v>68182</v>
      </c>
      <c r="K64" s="39">
        <f t="shared" si="66"/>
        <v>19764</v>
      </c>
      <c r="L64" s="39">
        <f t="shared" si="66"/>
        <v>537171</v>
      </c>
      <c r="M64" s="77">
        <f t="shared" ref="M64:P64" si="67">D64+H64</f>
        <v>53537</v>
      </c>
      <c r="N64" s="77">
        <f t="shared" si="67"/>
        <v>150932</v>
      </c>
      <c r="O64" s="77">
        <f t="shared" si="67"/>
        <v>173027</v>
      </c>
      <c r="P64" s="77">
        <f t="shared" si="67"/>
        <v>159675</v>
      </c>
      <c r="Q64" s="77">
        <f t="shared" si="4"/>
        <v>537171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A7:A22"/>
    <mergeCell ref="A23:C23"/>
    <mergeCell ref="A24:A61"/>
    <mergeCell ref="B52:C52"/>
    <mergeCell ref="B62:C62"/>
    <mergeCell ref="A63:C63"/>
    <mergeCell ref="A64:C64"/>
    <mergeCell ref="A5:A6"/>
    <mergeCell ref="B5:B6"/>
    <mergeCell ref="C5:C6"/>
    <mergeCell ref="D5:G5"/>
    <mergeCell ref="H5:K5"/>
    <mergeCell ref="L5:L6"/>
    <mergeCell ref="M5:P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8.86"/>
    <col customWidth="1" min="2" max="2" width="10.14"/>
    <col customWidth="1" min="3" max="3" width="36.14"/>
    <col customWidth="1" min="4" max="21" width="12.0"/>
    <col customWidth="1" hidden="1" min="22" max="22" width="12.0"/>
    <col customWidth="1" min="23" max="32" width="12.0"/>
  </cols>
  <sheetData>
    <row r="1">
      <c r="A1" s="68" t="s">
        <v>78</v>
      </c>
      <c r="B1" s="68" t="s">
        <v>0</v>
      </c>
      <c r="C1" s="68" t="s">
        <v>1</v>
      </c>
      <c r="D1" s="78" t="s">
        <v>79</v>
      </c>
      <c r="E1" s="64"/>
      <c r="F1" s="64"/>
      <c r="G1" s="64"/>
      <c r="H1" s="64"/>
      <c r="I1" s="64"/>
      <c r="J1" s="64"/>
      <c r="K1" s="64"/>
      <c r="L1" s="25"/>
      <c r="M1" s="78" t="s">
        <v>80</v>
      </c>
      <c r="N1" s="64"/>
      <c r="O1" s="64"/>
      <c r="P1" s="64"/>
      <c r="Q1" s="64"/>
      <c r="R1" s="64"/>
      <c r="S1" s="64"/>
      <c r="T1" s="64"/>
      <c r="U1" s="64"/>
      <c r="V1" s="64"/>
      <c r="W1" s="25"/>
      <c r="X1" s="127" t="s">
        <v>106</v>
      </c>
      <c r="Y1" s="128"/>
      <c r="Z1" s="128"/>
      <c r="AA1" s="128"/>
      <c r="AB1" s="128"/>
      <c r="AC1" s="128"/>
      <c r="AD1" s="128"/>
      <c r="AE1" s="128"/>
      <c r="AF1" s="128"/>
    </row>
    <row r="2">
      <c r="A2" s="3"/>
      <c r="B2" s="3"/>
      <c r="C2" s="3"/>
      <c r="D2" s="129" t="s">
        <v>130</v>
      </c>
      <c r="E2" s="129" t="s">
        <v>131</v>
      </c>
      <c r="F2" s="129" t="s">
        <v>132</v>
      </c>
      <c r="G2" s="129" t="s">
        <v>133</v>
      </c>
      <c r="H2" s="129" t="s">
        <v>134</v>
      </c>
      <c r="I2" s="129" t="s">
        <v>135</v>
      </c>
      <c r="J2" s="129" t="s">
        <v>136</v>
      </c>
      <c r="K2" s="129" t="s">
        <v>137</v>
      </c>
      <c r="L2" s="129" t="s">
        <v>138</v>
      </c>
      <c r="M2" s="129" t="s">
        <v>139</v>
      </c>
      <c r="N2" s="129" t="s">
        <v>140</v>
      </c>
      <c r="O2" s="129" t="s">
        <v>141</v>
      </c>
      <c r="P2" s="129" t="s">
        <v>142</v>
      </c>
      <c r="Q2" s="129" t="s">
        <v>143</v>
      </c>
      <c r="R2" s="129" t="s">
        <v>144</v>
      </c>
      <c r="S2" s="129" t="s">
        <v>145</v>
      </c>
      <c r="T2" s="129" t="s">
        <v>146</v>
      </c>
      <c r="U2" s="129" t="s">
        <v>147</v>
      </c>
      <c r="V2" s="129" t="s">
        <v>148</v>
      </c>
      <c r="W2" s="129" t="s">
        <v>149</v>
      </c>
      <c r="X2" s="3"/>
      <c r="Y2" s="128" t="s">
        <v>150</v>
      </c>
      <c r="Z2" s="128" t="s">
        <v>151</v>
      </c>
      <c r="AA2" s="128" t="s">
        <v>152</v>
      </c>
      <c r="AB2" s="128" t="s">
        <v>151</v>
      </c>
      <c r="AC2" s="128" t="s">
        <v>153</v>
      </c>
      <c r="AD2" s="128"/>
      <c r="AE2" s="128"/>
      <c r="AF2" s="128"/>
    </row>
    <row r="3" hidden="1">
      <c r="A3" s="34" t="s">
        <v>84</v>
      </c>
      <c r="B3" s="4">
        <v>3003.0</v>
      </c>
      <c r="C3" s="5" t="s">
        <v>13</v>
      </c>
      <c r="D3" s="130">
        <v>0.0</v>
      </c>
      <c r="E3" s="130">
        <v>0.0</v>
      </c>
      <c r="F3" s="130">
        <v>9.0</v>
      </c>
      <c r="G3" s="130">
        <v>96.0</v>
      </c>
      <c r="H3" s="131">
        <v>0.0</v>
      </c>
      <c r="I3" s="131">
        <v>0.0</v>
      </c>
      <c r="J3" s="131">
        <v>19.0</v>
      </c>
      <c r="K3" s="131">
        <v>3.0</v>
      </c>
      <c r="L3" s="131">
        <v>1535.0</v>
      </c>
      <c r="M3" s="130">
        <v>0.0</v>
      </c>
      <c r="N3" s="130">
        <v>0.0</v>
      </c>
      <c r="O3" s="130">
        <v>0.0</v>
      </c>
      <c r="P3" s="130">
        <v>0.0</v>
      </c>
      <c r="Q3" s="130">
        <v>0.0</v>
      </c>
      <c r="R3" s="130">
        <v>0.0</v>
      </c>
      <c r="S3" s="131">
        <v>0.0</v>
      </c>
      <c r="T3" s="131">
        <v>115.0</v>
      </c>
      <c r="U3" s="131">
        <v>0.0</v>
      </c>
      <c r="V3" s="131">
        <v>0.0</v>
      </c>
      <c r="W3" s="131">
        <v>1028.0</v>
      </c>
      <c r="X3" s="132">
        <f t="shared" ref="X3:X59" si="1">SUM(D3:W3)</f>
        <v>2805</v>
      </c>
      <c r="Y3" s="93"/>
      <c r="Z3" s="93"/>
      <c r="AA3" s="93"/>
      <c r="AB3" s="93"/>
      <c r="AC3" s="93">
        <f t="shared" ref="AC3:AC59" si="2">L3+W3</f>
        <v>2563</v>
      </c>
      <c r="AD3" s="93"/>
      <c r="AE3" s="93"/>
      <c r="AF3" s="93"/>
    </row>
    <row r="4" hidden="1">
      <c r="A4" s="38"/>
      <c r="B4" s="4">
        <v>3005.0</v>
      </c>
      <c r="C4" s="5" t="s">
        <v>19</v>
      </c>
      <c r="D4" s="130">
        <v>0.0</v>
      </c>
      <c r="E4" s="130">
        <v>3.0</v>
      </c>
      <c r="F4" s="130">
        <v>4.0</v>
      </c>
      <c r="G4" s="130">
        <v>60.0</v>
      </c>
      <c r="H4" s="131">
        <v>0.0</v>
      </c>
      <c r="I4" s="131">
        <v>0.0</v>
      </c>
      <c r="J4" s="131">
        <v>0.0</v>
      </c>
      <c r="K4" s="131">
        <v>825.0</v>
      </c>
      <c r="L4" s="131">
        <v>2121.0</v>
      </c>
      <c r="M4" s="130">
        <v>0.0</v>
      </c>
      <c r="N4" s="130">
        <v>0.0</v>
      </c>
      <c r="O4" s="130">
        <v>0.0</v>
      </c>
      <c r="P4" s="130">
        <v>0.0</v>
      </c>
      <c r="Q4" s="130">
        <v>0.0</v>
      </c>
      <c r="R4" s="130">
        <v>0.0</v>
      </c>
      <c r="S4" s="131">
        <v>0.0</v>
      </c>
      <c r="T4" s="131">
        <v>0.0</v>
      </c>
      <c r="U4" s="131">
        <v>0.0</v>
      </c>
      <c r="V4" s="131">
        <v>0.0</v>
      </c>
      <c r="W4" s="131">
        <v>0.0</v>
      </c>
      <c r="X4" s="132">
        <f t="shared" si="1"/>
        <v>3013</v>
      </c>
      <c r="Y4" s="93"/>
      <c r="Z4" s="93"/>
      <c r="AA4" s="93"/>
      <c r="AB4" s="93"/>
      <c r="AC4" s="93">
        <f t="shared" si="2"/>
        <v>2121</v>
      </c>
      <c r="AD4" s="93"/>
      <c r="AE4" s="93"/>
      <c r="AF4" s="93"/>
    </row>
    <row r="5" hidden="1">
      <c r="A5" s="38"/>
      <c r="B5" s="4">
        <v>3006.0</v>
      </c>
      <c r="C5" s="5" t="s">
        <v>20</v>
      </c>
      <c r="D5" s="130">
        <v>0.0</v>
      </c>
      <c r="E5" s="130">
        <v>12.0</v>
      </c>
      <c r="F5" s="130">
        <v>26.0</v>
      </c>
      <c r="G5" s="130">
        <v>9.0</v>
      </c>
      <c r="H5" s="131">
        <v>0.0</v>
      </c>
      <c r="I5" s="131">
        <v>0.0</v>
      </c>
      <c r="J5" s="131">
        <v>2.0</v>
      </c>
      <c r="K5" s="131">
        <v>988.0</v>
      </c>
      <c r="L5" s="131">
        <v>585.0</v>
      </c>
      <c r="M5" s="130">
        <v>0.0</v>
      </c>
      <c r="N5" s="130">
        <v>0.0</v>
      </c>
      <c r="O5" s="130">
        <v>0.0</v>
      </c>
      <c r="P5" s="130">
        <v>0.0</v>
      </c>
      <c r="Q5" s="130">
        <v>0.0</v>
      </c>
      <c r="R5" s="130">
        <v>0.0</v>
      </c>
      <c r="S5" s="131">
        <v>0.0</v>
      </c>
      <c r="T5" s="131">
        <v>0.0</v>
      </c>
      <c r="U5" s="131">
        <v>0.0</v>
      </c>
      <c r="V5" s="131">
        <v>0.0</v>
      </c>
      <c r="W5" s="131">
        <v>0.0</v>
      </c>
      <c r="X5" s="132">
        <f t="shared" si="1"/>
        <v>1622</v>
      </c>
      <c r="Y5" s="93"/>
      <c r="Z5" s="93"/>
      <c r="AA5" s="93"/>
      <c r="AB5" s="93"/>
      <c r="AC5" s="93">
        <f t="shared" si="2"/>
        <v>585</v>
      </c>
      <c r="AD5" s="93"/>
      <c r="AE5" s="93"/>
      <c r="AF5" s="93"/>
    </row>
    <row r="6" hidden="1">
      <c r="A6" s="38"/>
      <c r="B6" s="4">
        <v>3012.0</v>
      </c>
      <c r="C6" s="5" t="s">
        <v>21</v>
      </c>
      <c r="D6" s="130">
        <v>0.0</v>
      </c>
      <c r="E6" s="130">
        <v>8.0</v>
      </c>
      <c r="F6" s="130">
        <v>55.0</v>
      </c>
      <c r="G6" s="130">
        <v>288.0</v>
      </c>
      <c r="H6" s="131">
        <v>189.0</v>
      </c>
      <c r="I6" s="131">
        <v>16530.0</v>
      </c>
      <c r="J6" s="131">
        <v>0.0</v>
      </c>
      <c r="K6" s="131">
        <v>5111.0</v>
      </c>
      <c r="L6" s="131">
        <v>3150.0</v>
      </c>
      <c r="M6" s="130">
        <v>0.0</v>
      </c>
      <c r="N6" s="130">
        <v>0.0</v>
      </c>
      <c r="O6" s="130">
        <v>0.0</v>
      </c>
      <c r="P6" s="130">
        <v>0.0</v>
      </c>
      <c r="Q6" s="130">
        <v>0.0</v>
      </c>
      <c r="R6" s="130">
        <v>0.0</v>
      </c>
      <c r="S6" s="131">
        <v>0.0</v>
      </c>
      <c r="T6" s="131">
        <v>0.0</v>
      </c>
      <c r="U6" s="131">
        <v>21.0</v>
      </c>
      <c r="V6" s="131">
        <v>0.0</v>
      </c>
      <c r="W6" s="131">
        <v>718.0</v>
      </c>
      <c r="X6" s="132">
        <f t="shared" si="1"/>
        <v>26070</v>
      </c>
      <c r="Y6" s="93"/>
      <c r="Z6" s="93"/>
      <c r="AA6" s="93"/>
      <c r="AB6" s="93"/>
      <c r="AC6" s="93">
        <f t="shared" si="2"/>
        <v>3868</v>
      </c>
      <c r="AD6" s="93"/>
      <c r="AE6" s="93"/>
      <c r="AF6" s="93"/>
    </row>
    <row r="7" hidden="1">
      <c r="A7" s="38"/>
      <c r="B7" s="4">
        <v>3024.0</v>
      </c>
      <c r="C7" s="5" t="s">
        <v>22</v>
      </c>
      <c r="D7" s="130">
        <v>0.0</v>
      </c>
      <c r="E7" s="130">
        <v>6.0</v>
      </c>
      <c r="F7" s="130">
        <v>70.0</v>
      </c>
      <c r="G7" s="130">
        <v>167.0</v>
      </c>
      <c r="H7" s="131">
        <v>268.0</v>
      </c>
      <c r="I7" s="131">
        <v>0.0</v>
      </c>
      <c r="J7" s="131">
        <v>117.0</v>
      </c>
      <c r="K7" s="131">
        <v>636.0</v>
      </c>
      <c r="L7" s="131">
        <v>2377.0</v>
      </c>
      <c r="M7" s="130">
        <v>0.0</v>
      </c>
      <c r="N7" s="130">
        <v>0.0</v>
      </c>
      <c r="O7" s="130">
        <v>0.0</v>
      </c>
      <c r="P7" s="130">
        <v>0.0</v>
      </c>
      <c r="Q7" s="130">
        <v>0.0</v>
      </c>
      <c r="R7" s="130">
        <v>0.0</v>
      </c>
      <c r="S7" s="131">
        <v>0.0</v>
      </c>
      <c r="T7" s="131">
        <v>0.0</v>
      </c>
      <c r="U7" s="131">
        <v>0.0</v>
      </c>
      <c r="V7" s="131">
        <v>0.0</v>
      </c>
      <c r="W7" s="131">
        <v>0.0</v>
      </c>
      <c r="X7" s="132">
        <f t="shared" si="1"/>
        <v>3641</v>
      </c>
      <c r="Y7" s="93"/>
      <c r="Z7" s="93"/>
      <c r="AA7" s="93"/>
      <c r="AB7" s="93"/>
      <c r="AC7" s="93">
        <f t="shared" si="2"/>
        <v>2377</v>
      </c>
      <c r="AD7" s="93"/>
      <c r="AE7" s="93"/>
      <c r="AF7" s="93"/>
    </row>
    <row r="8" hidden="1">
      <c r="A8" s="38"/>
      <c r="B8" s="4">
        <v>3038.0</v>
      </c>
      <c r="C8" s="5" t="s">
        <v>23</v>
      </c>
      <c r="D8" s="130">
        <v>0.0</v>
      </c>
      <c r="E8" s="130">
        <v>6.0</v>
      </c>
      <c r="F8" s="130">
        <v>4.0</v>
      </c>
      <c r="G8" s="130">
        <v>0.0</v>
      </c>
      <c r="H8" s="131">
        <v>0.0</v>
      </c>
      <c r="I8" s="131">
        <v>0.0</v>
      </c>
      <c r="J8" s="131">
        <v>1.0</v>
      </c>
      <c r="K8" s="131">
        <v>118.0</v>
      </c>
      <c r="L8" s="131">
        <v>69.0</v>
      </c>
      <c r="M8" s="130">
        <v>0.0</v>
      </c>
      <c r="N8" s="130">
        <v>0.0</v>
      </c>
      <c r="O8" s="130">
        <v>0.0</v>
      </c>
      <c r="P8" s="130">
        <v>0.0</v>
      </c>
      <c r="Q8" s="130">
        <v>0.0</v>
      </c>
      <c r="R8" s="130">
        <v>0.0</v>
      </c>
      <c r="S8" s="131">
        <v>0.0</v>
      </c>
      <c r="T8" s="131">
        <v>0.0</v>
      </c>
      <c r="U8" s="131">
        <v>0.0</v>
      </c>
      <c r="V8" s="131">
        <v>0.0</v>
      </c>
      <c r="W8" s="131">
        <v>0.0</v>
      </c>
      <c r="X8" s="132">
        <f t="shared" si="1"/>
        <v>198</v>
      </c>
      <c r="Y8" s="93"/>
      <c r="Z8" s="93"/>
      <c r="AA8" s="93"/>
      <c r="AB8" s="93"/>
      <c r="AC8" s="93">
        <f t="shared" si="2"/>
        <v>69</v>
      </c>
      <c r="AD8" s="93"/>
      <c r="AE8" s="93"/>
      <c r="AF8" s="93"/>
    </row>
    <row r="9" hidden="1">
      <c r="A9" s="38"/>
      <c r="B9" s="4">
        <v>4002.0</v>
      </c>
      <c r="C9" s="5" t="s">
        <v>24</v>
      </c>
      <c r="D9" s="130">
        <v>0.0</v>
      </c>
      <c r="E9" s="130">
        <v>0.0</v>
      </c>
      <c r="F9" s="130">
        <v>0.0</v>
      </c>
      <c r="G9" s="130">
        <v>1.0</v>
      </c>
      <c r="H9" s="131">
        <v>1.0</v>
      </c>
      <c r="I9" s="131">
        <v>0.0</v>
      </c>
      <c r="J9" s="131">
        <v>0.0</v>
      </c>
      <c r="K9" s="131">
        <v>54.0</v>
      </c>
      <c r="L9" s="131">
        <v>6.0</v>
      </c>
      <c r="M9" s="130">
        <v>0.0</v>
      </c>
      <c r="N9" s="130">
        <v>0.0</v>
      </c>
      <c r="O9" s="130">
        <v>0.0</v>
      </c>
      <c r="P9" s="130">
        <v>0.0</v>
      </c>
      <c r="Q9" s="130">
        <v>0.0</v>
      </c>
      <c r="R9" s="130">
        <v>0.0</v>
      </c>
      <c r="S9" s="131">
        <v>0.0</v>
      </c>
      <c r="T9" s="131">
        <v>0.0</v>
      </c>
      <c r="U9" s="131">
        <v>0.0</v>
      </c>
      <c r="V9" s="131">
        <v>0.0</v>
      </c>
      <c r="W9" s="131">
        <v>0.0</v>
      </c>
      <c r="X9" s="132">
        <f t="shared" si="1"/>
        <v>62</v>
      </c>
      <c r="Y9" s="93"/>
      <c r="Z9" s="93"/>
      <c r="AA9" s="93"/>
      <c r="AB9" s="93"/>
      <c r="AC9" s="93">
        <f t="shared" si="2"/>
        <v>6</v>
      </c>
      <c r="AD9" s="93"/>
      <c r="AE9" s="93"/>
      <c r="AF9" s="93"/>
    </row>
    <row r="10" hidden="1">
      <c r="A10" s="38"/>
      <c r="B10" s="4">
        <v>4007.0</v>
      </c>
      <c r="C10" s="5" t="s">
        <v>25</v>
      </c>
      <c r="D10" s="130">
        <v>1.0</v>
      </c>
      <c r="E10" s="130">
        <v>62.0</v>
      </c>
      <c r="F10" s="130">
        <v>80.0</v>
      </c>
      <c r="G10" s="130">
        <v>366.0</v>
      </c>
      <c r="H10" s="131">
        <v>9.0</v>
      </c>
      <c r="I10" s="131">
        <v>0.0</v>
      </c>
      <c r="J10" s="131">
        <v>0.0</v>
      </c>
      <c r="K10" s="131">
        <v>139.0</v>
      </c>
      <c r="L10" s="131">
        <v>1702.0</v>
      </c>
      <c r="M10" s="130">
        <v>0.0</v>
      </c>
      <c r="N10" s="130">
        <v>0.0</v>
      </c>
      <c r="O10" s="130">
        <v>0.0</v>
      </c>
      <c r="P10" s="130">
        <v>0.0</v>
      </c>
      <c r="Q10" s="130">
        <v>0.0</v>
      </c>
      <c r="R10" s="130">
        <v>0.0</v>
      </c>
      <c r="S10" s="131">
        <v>0.0</v>
      </c>
      <c r="T10" s="131">
        <v>0.0</v>
      </c>
      <c r="U10" s="131">
        <v>0.0</v>
      </c>
      <c r="V10" s="131">
        <v>0.0</v>
      </c>
      <c r="W10" s="131">
        <v>4.0</v>
      </c>
      <c r="X10" s="132">
        <f t="shared" si="1"/>
        <v>2363</v>
      </c>
      <c r="Y10" s="93"/>
      <c r="Z10" s="93"/>
      <c r="AA10" s="93"/>
      <c r="AB10" s="93"/>
      <c r="AC10" s="93">
        <f t="shared" si="2"/>
        <v>1706</v>
      </c>
      <c r="AD10" s="93"/>
      <c r="AE10" s="93"/>
      <c r="AF10" s="93"/>
    </row>
    <row r="11" hidden="1">
      <c r="A11" s="38"/>
      <c r="B11" s="4">
        <v>4008.0</v>
      </c>
      <c r="C11" s="5" t="s">
        <v>26</v>
      </c>
      <c r="D11" s="130">
        <v>0.0</v>
      </c>
      <c r="E11" s="130">
        <v>2.0</v>
      </c>
      <c r="F11" s="130">
        <v>4.0</v>
      </c>
      <c r="G11" s="130">
        <v>12.0</v>
      </c>
      <c r="H11" s="131">
        <v>0.0</v>
      </c>
      <c r="I11" s="131">
        <v>0.0</v>
      </c>
      <c r="J11" s="131">
        <v>0.0</v>
      </c>
      <c r="K11" s="131">
        <v>171.0</v>
      </c>
      <c r="L11" s="131">
        <v>50.0</v>
      </c>
      <c r="M11" s="130">
        <v>0.0</v>
      </c>
      <c r="N11" s="130">
        <v>0.0</v>
      </c>
      <c r="O11" s="130">
        <v>0.0</v>
      </c>
      <c r="P11" s="130">
        <v>0.0</v>
      </c>
      <c r="Q11" s="130">
        <v>0.0</v>
      </c>
      <c r="R11" s="130">
        <v>0.0</v>
      </c>
      <c r="S11" s="131">
        <v>0.0</v>
      </c>
      <c r="T11" s="131">
        <v>0.0</v>
      </c>
      <c r="U11" s="131">
        <v>0.0</v>
      </c>
      <c r="V11" s="131">
        <v>0.0</v>
      </c>
      <c r="W11" s="131">
        <v>0.0</v>
      </c>
      <c r="X11" s="132">
        <f t="shared" si="1"/>
        <v>239</v>
      </c>
      <c r="Y11" s="93"/>
      <c r="Z11" s="93"/>
      <c r="AA11" s="93"/>
      <c r="AB11" s="93"/>
      <c r="AC11" s="93">
        <f t="shared" si="2"/>
        <v>50</v>
      </c>
      <c r="AD11" s="93"/>
      <c r="AE11" s="93"/>
      <c r="AF11" s="93"/>
    </row>
    <row r="12" hidden="1">
      <c r="A12" s="38"/>
      <c r="B12" s="4">
        <v>4016.0</v>
      </c>
      <c r="C12" s="5" t="s">
        <v>27</v>
      </c>
      <c r="D12" s="130">
        <v>0.0</v>
      </c>
      <c r="E12" s="130">
        <v>0.0</v>
      </c>
      <c r="F12" s="130">
        <v>27.0</v>
      </c>
      <c r="G12" s="130">
        <v>39.0</v>
      </c>
      <c r="H12" s="131">
        <v>0.0</v>
      </c>
      <c r="I12" s="131">
        <v>0.0</v>
      </c>
      <c r="J12" s="131">
        <v>0.0</v>
      </c>
      <c r="K12" s="131">
        <v>1026.0</v>
      </c>
      <c r="L12" s="131">
        <v>185.0</v>
      </c>
      <c r="M12" s="130">
        <v>0.0</v>
      </c>
      <c r="N12" s="130">
        <v>0.0</v>
      </c>
      <c r="O12" s="130">
        <v>0.0</v>
      </c>
      <c r="P12" s="130">
        <v>0.0</v>
      </c>
      <c r="Q12" s="130">
        <v>0.0</v>
      </c>
      <c r="R12" s="130">
        <v>0.0</v>
      </c>
      <c r="S12" s="131">
        <v>0.0</v>
      </c>
      <c r="T12" s="131">
        <v>0.0</v>
      </c>
      <c r="U12" s="131">
        <v>2.0</v>
      </c>
      <c r="V12" s="131">
        <v>0.0</v>
      </c>
      <c r="W12" s="131">
        <v>5.0</v>
      </c>
      <c r="X12" s="132">
        <f t="shared" si="1"/>
        <v>1284</v>
      </c>
      <c r="Y12" s="93"/>
      <c r="Z12" s="93"/>
      <c r="AA12" s="93"/>
      <c r="AB12" s="93"/>
      <c r="AC12" s="93">
        <f t="shared" si="2"/>
        <v>190</v>
      </c>
      <c r="AD12" s="93"/>
      <c r="AE12" s="93"/>
      <c r="AF12" s="93"/>
    </row>
    <row r="13" hidden="1">
      <c r="A13" s="38"/>
      <c r="B13" s="4">
        <v>4020.0</v>
      </c>
      <c r="C13" s="5" t="s">
        <v>28</v>
      </c>
      <c r="D13" s="130">
        <v>0.0</v>
      </c>
      <c r="E13" s="130">
        <v>2.0</v>
      </c>
      <c r="F13" s="130">
        <v>0.0</v>
      </c>
      <c r="G13" s="130">
        <v>2.0</v>
      </c>
      <c r="H13" s="131">
        <v>0.0</v>
      </c>
      <c r="I13" s="131">
        <v>1.0</v>
      </c>
      <c r="J13" s="131">
        <v>0.0</v>
      </c>
      <c r="K13" s="131">
        <v>612.0</v>
      </c>
      <c r="L13" s="131">
        <v>78.0</v>
      </c>
      <c r="M13" s="130">
        <v>0.0</v>
      </c>
      <c r="N13" s="130">
        <v>0.0</v>
      </c>
      <c r="O13" s="130">
        <v>0.0</v>
      </c>
      <c r="P13" s="130">
        <v>0.0</v>
      </c>
      <c r="Q13" s="130">
        <v>0.0</v>
      </c>
      <c r="R13" s="130">
        <v>0.0</v>
      </c>
      <c r="S13" s="131">
        <v>0.0</v>
      </c>
      <c r="T13" s="131">
        <v>0.0</v>
      </c>
      <c r="U13" s="131">
        <v>11.0</v>
      </c>
      <c r="V13" s="131">
        <v>0.0</v>
      </c>
      <c r="W13" s="131">
        <v>1040.0</v>
      </c>
      <c r="X13" s="132">
        <f t="shared" si="1"/>
        <v>1746</v>
      </c>
      <c r="Y13" s="93"/>
      <c r="Z13" s="93"/>
      <c r="AA13" s="93"/>
      <c r="AB13" s="93"/>
      <c r="AC13" s="93">
        <f t="shared" si="2"/>
        <v>1118</v>
      </c>
      <c r="AD13" s="93"/>
      <c r="AE13" s="93"/>
      <c r="AF13" s="93"/>
    </row>
    <row r="14" hidden="1">
      <c r="A14" s="38"/>
      <c r="B14" s="4">
        <v>4023.0</v>
      </c>
      <c r="C14" s="5" t="s">
        <v>29</v>
      </c>
      <c r="D14" s="130">
        <v>0.0</v>
      </c>
      <c r="E14" s="130">
        <v>1.0</v>
      </c>
      <c r="F14" s="130">
        <v>2.0</v>
      </c>
      <c r="G14" s="130">
        <v>1.0</v>
      </c>
      <c r="H14" s="131">
        <v>0.0</v>
      </c>
      <c r="I14" s="131">
        <v>0.0</v>
      </c>
      <c r="J14" s="131">
        <v>0.0</v>
      </c>
      <c r="K14" s="131">
        <v>176.0</v>
      </c>
      <c r="L14" s="131">
        <v>33.0</v>
      </c>
      <c r="M14" s="130">
        <v>0.0</v>
      </c>
      <c r="N14" s="130">
        <v>0.0</v>
      </c>
      <c r="O14" s="130">
        <v>0.0</v>
      </c>
      <c r="P14" s="130">
        <v>0.0</v>
      </c>
      <c r="Q14" s="130">
        <v>0.0</v>
      </c>
      <c r="R14" s="130">
        <v>0.0</v>
      </c>
      <c r="S14" s="131">
        <v>0.0</v>
      </c>
      <c r="T14" s="131">
        <v>0.0</v>
      </c>
      <c r="U14" s="131">
        <v>0.0</v>
      </c>
      <c r="V14" s="131">
        <v>0.0</v>
      </c>
      <c r="W14" s="131">
        <v>0.0</v>
      </c>
      <c r="X14" s="132">
        <f t="shared" si="1"/>
        <v>213</v>
      </c>
      <c r="Y14" s="93"/>
      <c r="Z14" s="93"/>
      <c r="AA14" s="93"/>
      <c r="AB14" s="93"/>
      <c r="AC14" s="93">
        <f t="shared" si="2"/>
        <v>33</v>
      </c>
      <c r="AD14" s="93"/>
      <c r="AE14" s="93"/>
      <c r="AF14" s="93"/>
    </row>
    <row r="15" hidden="1">
      <c r="A15" s="38"/>
      <c r="B15" s="4">
        <v>4024.0</v>
      </c>
      <c r="C15" s="5" t="s">
        <v>30</v>
      </c>
      <c r="D15" s="130">
        <v>0.0</v>
      </c>
      <c r="E15" s="130">
        <v>1.0</v>
      </c>
      <c r="F15" s="130">
        <v>6.0</v>
      </c>
      <c r="G15" s="130">
        <v>23.0</v>
      </c>
      <c r="H15" s="131">
        <v>0.0</v>
      </c>
      <c r="I15" s="131">
        <v>0.0</v>
      </c>
      <c r="J15" s="131">
        <v>0.0</v>
      </c>
      <c r="K15" s="131">
        <v>76.0</v>
      </c>
      <c r="L15" s="131">
        <v>99.0</v>
      </c>
      <c r="M15" s="130">
        <v>0.0</v>
      </c>
      <c r="N15" s="130">
        <v>0.0</v>
      </c>
      <c r="O15" s="130">
        <v>0.0</v>
      </c>
      <c r="P15" s="130">
        <v>0.0</v>
      </c>
      <c r="Q15" s="130">
        <v>0.0</v>
      </c>
      <c r="R15" s="130">
        <v>0.0</v>
      </c>
      <c r="S15" s="131">
        <v>0.0</v>
      </c>
      <c r="T15" s="131">
        <v>0.0</v>
      </c>
      <c r="U15" s="131">
        <v>0.0</v>
      </c>
      <c r="V15" s="131">
        <v>0.0</v>
      </c>
      <c r="W15" s="131">
        <v>0.0</v>
      </c>
      <c r="X15" s="132">
        <f t="shared" si="1"/>
        <v>205</v>
      </c>
      <c r="Y15" s="93"/>
      <c r="Z15" s="93"/>
      <c r="AA15" s="93"/>
      <c r="AB15" s="93"/>
      <c r="AC15" s="93">
        <f t="shared" si="2"/>
        <v>99</v>
      </c>
      <c r="AD15" s="93"/>
      <c r="AE15" s="93"/>
      <c r="AF15" s="93"/>
    </row>
    <row r="16" hidden="1">
      <c r="A16" s="38"/>
      <c r="B16" s="4">
        <v>4033.0</v>
      </c>
      <c r="C16" s="5" t="s">
        <v>31</v>
      </c>
      <c r="D16" s="130">
        <v>0.0</v>
      </c>
      <c r="E16" s="130">
        <v>0.0</v>
      </c>
      <c r="F16" s="130">
        <v>26.0</v>
      </c>
      <c r="G16" s="130">
        <v>107.0</v>
      </c>
      <c r="H16" s="131">
        <v>0.0</v>
      </c>
      <c r="I16" s="131">
        <v>0.0</v>
      </c>
      <c r="J16" s="131">
        <v>16.0</v>
      </c>
      <c r="K16" s="131">
        <v>3.0</v>
      </c>
      <c r="L16" s="131">
        <v>773.0</v>
      </c>
      <c r="M16" s="130">
        <v>0.0</v>
      </c>
      <c r="N16" s="130">
        <v>0.0</v>
      </c>
      <c r="O16" s="130">
        <v>0.0</v>
      </c>
      <c r="P16" s="130">
        <v>0.0</v>
      </c>
      <c r="Q16" s="130">
        <v>0.0</v>
      </c>
      <c r="R16" s="130">
        <v>0.0</v>
      </c>
      <c r="S16" s="131">
        <v>0.0</v>
      </c>
      <c r="T16" s="131">
        <v>0.0</v>
      </c>
      <c r="U16" s="131">
        <v>0.0</v>
      </c>
      <c r="V16" s="131">
        <v>0.0</v>
      </c>
      <c r="W16" s="131">
        <v>0.0</v>
      </c>
      <c r="X16" s="132">
        <f t="shared" si="1"/>
        <v>925</v>
      </c>
      <c r="Y16" s="93"/>
      <c r="Z16" s="93"/>
      <c r="AA16" s="93"/>
      <c r="AB16" s="93"/>
      <c r="AC16" s="93">
        <f t="shared" si="2"/>
        <v>773</v>
      </c>
      <c r="AD16" s="93"/>
      <c r="AE16" s="93"/>
      <c r="AF16" s="93"/>
    </row>
    <row r="17" hidden="1">
      <c r="A17" s="3"/>
      <c r="B17" s="4">
        <v>4071.0</v>
      </c>
      <c r="C17" s="5" t="s">
        <v>32</v>
      </c>
      <c r="D17" s="130">
        <v>0.0</v>
      </c>
      <c r="E17" s="130">
        <v>0.0</v>
      </c>
      <c r="F17" s="130">
        <v>3.0</v>
      </c>
      <c r="G17" s="130">
        <v>2.0</v>
      </c>
      <c r="H17" s="131">
        <v>0.0</v>
      </c>
      <c r="I17" s="131">
        <v>0.0</v>
      </c>
      <c r="J17" s="131">
        <v>250.0</v>
      </c>
      <c r="K17" s="131">
        <v>100.0</v>
      </c>
      <c r="L17" s="131">
        <v>40.0</v>
      </c>
      <c r="M17" s="130">
        <v>0.0</v>
      </c>
      <c r="N17" s="130">
        <v>0.0</v>
      </c>
      <c r="O17" s="130">
        <v>0.0</v>
      </c>
      <c r="P17" s="130">
        <v>0.0</v>
      </c>
      <c r="Q17" s="130">
        <v>0.0</v>
      </c>
      <c r="R17" s="130">
        <v>0.0</v>
      </c>
      <c r="S17" s="131">
        <v>0.0</v>
      </c>
      <c r="T17" s="131">
        <v>0.0</v>
      </c>
      <c r="U17" s="131">
        <v>0.0</v>
      </c>
      <c r="V17" s="131">
        <v>0.0</v>
      </c>
      <c r="W17" s="131">
        <v>0.0</v>
      </c>
      <c r="X17" s="132">
        <f t="shared" si="1"/>
        <v>395</v>
      </c>
      <c r="Y17" s="93"/>
      <c r="Z17" s="93"/>
      <c r="AA17" s="93"/>
      <c r="AB17" s="93"/>
      <c r="AC17" s="93">
        <f t="shared" si="2"/>
        <v>40</v>
      </c>
      <c r="AD17" s="93"/>
      <c r="AE17" s="93"/>
      <c r="AF17" s="93"/>
    </row>
    <row r="18" hidden="1">
      <c r="A18" s="78" t="s">
        <v>86</v>
      </c>
      <c r="B18" s="64"/>
      <c r="C18" s="25"/>
      <c r="D18" s="39">
        <f t="shared" ref="D18:W18" si="3">SUM(D3:D17)</f>
        <v>1</v>
      </c>
      <c r="E18" s="39">
        <f t="shared" si="3"/>
        <v>103</v>
      </c>
      <c r="F18" s="39">
        <f t="shared" si="3"/>
        <v>316</v>
      </c>
      <c r="G18" s="39">
        <f t="shared" si="3"/>
        <v>1173</v>
      </c>
      <c r="H18" s="133">
        <f t="shared" si="3"/>
        <v>467</v>
      </c>
      <c r="I18" s="133">
        <f t="shared" si="3"/>
        <v>16531</v>
      </c>
      <c r="J18" s="133">
        <f t="shared" si="3"/>
        <v>405</v>
      </c>
      <c r="K18" s="133">
        <f t="shared" si="3"/>
        <v>10038</v>
      </c>
      <c r="L18" s="133">
        <f t="shared" si="3"/>
        <v>12803</v>
      </c>
      <c r="M18" s="133">
        <f t="shared" si="3"/>
        <v>0</v>
      </c>
      <c r="N18" s="133">
        <f t="shared" si="3"/>
        <v>0</v>
      </c>
      <c r="O18" s="133">
        <f t="shared" si="3"/>
        <v>0</v>
      </c>
      <c r="P18" s="133">
        <f t="shared" si="3"/>
        <v>0</v>
      </c>
      <c r="Q18" s="133">
        <f t="shared" si="3"/>
        <v>0</v>
      </c>
      <c r="R18" s="39">
        <f t="shared" si="3"/>
        <v>0</v>
      </c>
      <c r="S18" s="39">
        <f t="shared" si="3"/>
        <v>0</v>
      </c>
      <c r="T18" s="39">
        <f t="shared" si="3"/>
        <v>115</v>
      </c>
      <c r="U18" s="39">
        <f t="shared" si="3"/>
        <v>34</v>
      </c>
      <c r="V18" s="39">
        <f t="shared" si="3"/>
        <v>0</v>
      </c>
      <c r="W18" s="39">
        <f t="shared" si="3"/>
        <v>2795</v>
      </c>
      <c r="X18" s="132">
        <f t="shared" si="1"/>
        <v>44781</v>
      </c>
      <c r="Y18" s="134"/>
      <c r="Z18" s="134"/>
      <c r="AA18" s="134"/>
      <c r="AB18" s="134"/>
      <c r="AC18" s="134">
        <f t="shared" si="2"/>
        <v>15598</v>
      </c>
      <c r="AD18" s="134"/>
      <c r="AE18" s="134"/>
      <c r="AF18" s="134"/>
    </row>
    <row r="19">
      <c r="A19" s="135" t="s">
        <v>87</v>
      </c>
      <c r="B19" s="17">
        <v>6100.0</v>
      </c>
      <c r="C19" s="18" t="s">
        <v>33</v>
      </c>
      <c r="D19" s="136">
        <v>1.0</v>
      </c>
      <c r="E19" s="136">
        <v>50.0</v>
      </c>
      <c r="F19" s="137">
        <f>338+5</f>
        <v>343</v>
      </c>
      <c r="G19" s="136">
        <f>191+20</f>
        <v>211</v>
      </c>
      <c r="H19" s="138">
        <v>0.0</v>
      </c>
      <c r="I19" s="138">
        <f>16070+28</f>
        <v>16098</v>
      </c>
      <c r="J19" s="138">
        <v>621.0</v>
      </c>
      <c r="K19" s="138">
        <v>3384.0</v>
      </c>
      <c r="L19" s="138">
        <v>6066.0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8">
        <v>21797.0</v>
      </c>
      <c r="T19" s="138">
        <v>947.0</v>
      </c>
      <c r="U19" s="138">
        <v>1110.0</v>
      </c>
      <c r="V19" s="138">
        <v>0.0</v>
      </c>
      <c r="W19" s="138">
        <v>1844.0</v>
      </c>
      <c r="X19" s="139">
        <f t="shared" si="1"/>
        <v>52472</v>
      </c>
      <c r="Y19" s="140">
        <f t="shared" ref="Y19:Y59" si="4">SUM(D19:H19)</f>
        <v>605</v>
      </c>
      <c r="Z19" s="141">
        <f t="shared" ref="Z19:Z59" si="5">Y19/X19</f>
        <v>0.01152995884</v>
      </c>
      <c r="AA19" s="142">
        <f t="shared" ref="AA19:AA59" si="6">SUM(I19:K19,S19:V19)</f>
        <v>43957</v>
      </c>
      <c r="AB19" s="141">
        <f t="shared" ref="AB19:AB59" si="7">AA19/X19</f>
        <v>0.8377229761</v>
      </c>
      <c r="AC19" s="142">
        <f t="shared" si="2"/>
        <v>7910</v>
      </c>
      <c r="AD19" s="141">
        <f t="shared" ref="AD19:AD59" si="8">AC19/X19</f>
        <v>0.1507470651</v>
      </c>
      <c r="AE19" s="140">
        <f t="shared" ref="AE19:AE59" si="9">SUM(Y19,AA19,AC19)</f>
        <v>52472</v>
      </c>
      <c r="AF19" s="142"/>
    </row>
    <row r="20">
      <c r="A20" s="38"/>
      <c r="B20" s="143">
        <v>6101.0</v>
      </c>
      <c r="C20" s="144" t="s">
        <v>34</v>
      </c>
      <c r="D20" s="145">
        <v>0.0</v>
      </c>
      <c r="E20" s="145">
        <v>38.0</v>
      </c>
      <c r="F20" s="145">
        <v>243.0</v>
      </c>
      <c r="G20" s="145">
        <v>644.0</v>
      </c>
      <c r="H20" s="146">
        <v>0.0</v>
      </c>
      <c r="I20" s="147">
        <f>4930+10</f>
        <v>4940</v>
      </c>
      <c r="J20" s="147">
        <f>2168+2</f>
        <v>2170</v>
      </c>
      <c r="K20" s="146">
        <f>1408+1</f>
        <v>1409</v>
      </c>
      <c r="L20" s="146">
        <v>2446.0</v>
      </c>
      <c r="M20" s="145">
        <v>0.0</v>
      </c>
      <c r="N20" s="145">
        <v>0.0</v>
      </c>
      <c r="O20" s="145">
        <v>0.0</v>
      </c>
      <c r="P20" s="145">
        <v>0.0</v>
      </c>
      <c r="Q20" s="145">
        <v>0.0</v>
      </c>
      <c r="R20" s="145">
        <v>0.0</v>
      </c>
      <c r="S20" s="146">
        <v>10920.0</v>
      </c>
      <c r="T20" s="146">
        <v>1074.0</v>
      </c>
      <c r="U20" s="146">
        <v>431.0</v>
      </c>
      <c r="V20" s="146">
        <v>0.0</v>
      </c>
      <c r="W20" s="146">
        <v>1547.0</v>
      </c>
      <c r="X20" s="148">
        <f t="shared" si="1"/>
        <v>25862</v>
      </c>
      <c r="Y20" s="149">
        <f t="shared" si="4"/>
        <v>925</v>
      </c>
      <c r="Z20" s="150">
        <f t="shared" si="5"/>
        <v>0.03576676204</v>
      </c>
      <c r="AA20" s="151">
        <f t="shared" si="6"/>
        <v>20944</v>
      </c>
      <c r="AB20" s="150">
        <f t="shared" si="7"/>
        <v>0.8098368262</v>
      </c>
      <c r="AC20" s="151">
        <f t="shared" si="2"/>
        <v>3993</v>
      </c>
      <c r="AD20" s="150">
        <f t="shared" si="8"/>
        <v>0.1543964117</v>
      </c>
      <c r="AE20" s="149">
        <f t="shared" si="9"/>
        <v>25862</v>
      </c>
      <c r="AF20" s="151"/>
    </row>
    <row r="21">
      <c r="A21" s="38"/>
      <c r="B21" s="143">
        <v>6102.0</v>
      </c>
      <c r="C21" s="144" t="s">
        <v>35</v>
      </c>
      <c r="D21" s="145">
        <v>0.0</v>
      </c>
      <c r="E21" s="145">
        <v>40.0</v>
      </c>
      <c r="F21" s="152">
        <f>266+2</f>
        <v>268</v>
      </c>
      <c r="G21" s="152">
        <f>554+3</f>
        <v>557</v>
      </c>
      <c r="H21" s="147">
        <v>1.0</v>
      </c>
      <c r="I21" s="146">
        <f>3532+1</f>
        <v>3533</v>
      </c>
      <c r="J21" s="146">
        <v>1071.0</v>
      </c>
      <c r="K21" s="146">
        <v>903.0</v>
      </c>
      <c r="L21" s="146">
        <v>1564.0</v>
      </c>
      <c r="M21" s="145">
        <v>0.0</v>
      </c>
      <c r="N21" s="145">
        <v>0.0</v>
      </c>
      <c r="O21" s="145">
        <v>0.0</v>
      </c>
      <c r="P21" s="145">
        <v>0.0</v>
      </c>
      <c r="Q21" s="145">
        <v>0.0</v>
      </c>
      <c r="R21" s="145">
        <v>0.0</v>
      </c>
      <c r="S21" s="146">
        <v>4068.0</v>
      </c>
      <c r="T21" s="146">
        <v>515.0</v>
      </c>
      <c r="U21" s="146">
        <v>401.0</v>
      </c>
      <c r="V21" s="146">
        <v>0.0</v>
      </c>
      <c r="W21" s="146">
        <v>150.0</v>
      </c>
      <c r="X21" s="148">
        <f t="shared" si="1"/>
        <v>13071</v>
      </c>
      <c r="Y21" s="149">
        <f t="shared" si="4"/>
        <v>866</v>
      </c>
      <c r="Z21" s="150">
        <f t="shared" si="5"/>
        <v>0.06625353837</v>
      </c>
      <c r="AA21" s="151">
        <f t="shared" si="6"/>
        <v>10491</v>
      </c>
      <c r="AB21" s="150">
        <f t="shared" si="7"/>
        <v>0.8026164792</v>
      </c>
      <c r="AC21" s="151">
        <f t="shared" si="2"/>
        <v>1714</v>
      </c>
      <c r="AD21" s="150">
        <f t="shared" si="8"/>
        <v>0.1311299824</v>
      </c>
      <c r="AE21" s="149">
        <f t="shared" si="9"/>
        <v>13071</v>
      </c>
      <c r="AF21" s="151"/>
    </row>
    <row r="22">
      <c r="A22" s="38"/>
      <c r="B22" s="153">
        <v>6103.0</v>
      </c>
      <c r="C22" s="154" t="s">
        <v>36</v>
      </c>
      <c r="D22" s="155">
        <v>0.0</v>
      </c>
      <c r="E22" s="155">
        <v>33.0</v>
      </c>
      <c r="F22" s="156">
        <f>212+1</f>
        <v>213</v>
      </c>
      <c r="G22" s="156">
        <f>449+5</f>
        <v>454</v>
      </c>
      <c r="H22" s="157">
        <v>1.0</v>
      </c>
      <c r="I22" s="158">
        <f>4219+3</f>
        <v>4222</v>
      </c>
      <c r="J22" s="158">
        <f>993+1</f>
        <v>994</v>
      </c>
      <c r="K22" s="157">
        <v>527.0</v>
      </c>
      <c r="L22" s="157">
        <v>868.0</v>
      </c>
      <c r="M22" s="155">
        <v>0.0</v>
      </c>
      <c r="N22" s="155">
        <v>0.0</v>
      </c>
      <c r="O22" s="155">
        <v>0.0</v>
      </c>
      <c r="P22" s="155">
        <v>0.0</v>
      </c>
      <c r="Q22" s="155">
        <v>0.0</v>
      </c>
      <c r="R22" s="155">
        <v>0.0</v>
      </c>
      <c r="S22" s="157">
        <v>6586.0</v>
      </c>
      <c r="T22" s="157">
        <v>617.0</v>
      </c>
      <c r="U22" s="157">
        <v>432.0</v>
      </c>
      <c r="V22" s="157">
        <v>0.0</v>
      </c>
      <c r="W22" s="157">
        <v>505.0</v>
      </c>
      <c r="X22" s="159">
        <f t="shared" si="1"/>
        <v>15452</v>
      </c>
      <c r="Y22" s="160">
        <f t="shared" si="4"/>
        <v>701</v>
      </c>
      <c r="Z22" s="161">
        <f t="shared" si="5"/>
        <v>0.04536629563</v>
      </c>
      <c r="AA22" s="162">
        <f t="shared" si="6"/>
        <v>13378</v>
      </c>
      <c r="AB22" s="161">
        <f t="shared" si="7"/>
        <v>0.8657778928</v>
      </c>
      <c r="AC22" s="162">
        <f t="shared" si="2"/>
        <v>1373</v>
      </c>
      <c r="AD22" s="161">
        <f t="shared" si="8"/>
        <v>0.08885581155</v>
      </c>
      <c r="AE22" s="160">
        <f t="shared" si="9"/>
        <v>15452</v>
      </c>
      <c r="AF22" s="162"/>
    </row>
    <row r="23">
      <c r="A23" s="38"/>
      <c r="B23" s="163">
        <v>6104.0</v>
      </c>
      <c r="C23" s="164" t="s">
        <v>37</v>
      </c>
      <c r="D23" s="165">
        <v>0.0</v>
      </c>
      <c r="E23" s="165">
        <v>34.0</v>
      </c>
      <c r="F23" s="165">
        <f>205+10</f>
        <v>215</v>
      </c>
      <c r="G23" s="165">
        <f>426+13</f>
        <v>439</v>
      </c>
      <c r="H23" s="166">
        <v>0.0</v>
      </c>
      <c r="I23" s="166">
        <f>4653+9</f>
        <v>4662</v>
      </c>
      <c r="J23" s="166">
        <f>1292+2</f>
        <v>1294</v>
      </c>
      <c r="K23" s="166">
        <v>782.0</v>
      </c>
      <c r="L23" s="166">
        <v>1619.0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6">
        <v>6740.0</v>
      </c>
      <c r="T23" s="166">
        <v>568.0</v>
      </c>
      <c r="U23" s="166">
        <v>484.0</v>
      </c>
      <c r="V23" s="166">
        <v>0.0</v>
      </c>
      <c r="W23" s="166">
        <v>5622.0</v>
      </c>
      <c r="X23" s="167">
        <f t="shared" si="1"/>
        <v>22459</v>
      </c>
      <c r="Y23" s="168">
        <f t="shared" si="4"/>
        <v>688</v>
      </c>
      <c r="Z23" s="169">
        <f t="shared" si="5"/>
        <v>0.030633599</v>
      </c>
      <c r="AA23" s="170">
        <f t="shared" si="6"/>
        <v>14530</v>
      </c>
      <c r="AB23" s="169">
        <f t="shared" si="7"/>
        <v>0.6469566766</v>
      </c>
      <c r="AC23" s="170">
        <f t="shared" si="2"/>
        <v>7241</v>
      </c>
      <c r="AD23" s="169">
        <f t="shared" si="8"/>
        <v>0.3224097244</v>
      </c>
      <c r="AE23" s="168">
        <f t="shared" si="9"/>
        <v>22459</v>
      </c>
      <c r="AF23" s="170"/>
    </row>
    <row r="24">
      <c r="A24" s="38"/>
      <c r="B24" s="143">
        <v>6105.0</v>
      </c>
      <c r="C24" s="144" t="s">
        <v>39</v>
      </c>
      <c r="D24" s="145">
        <v>0.0</v>
      </c>
      <c r="E24" s="145">
        <v>29.0</v>
      </c>
      <c r="F24" s="145">
        <f>162+10</f>
        <v>172</v>
      </c>
      <c r="G24" s="145">
        <f>385+16</f>
        <v>401</v>
      </c>
      <c r="H24" s="146">
        <v>0.0</v>
      </c>
      <c r="I24" s="146">
        <f>3777+3</f>
        <v>3780</v>
      </c>
      <c r="J24" s="146">
        <v>1254.0</v>
      </c>
      <c r="K24" s="146">
        <v>1054.0</v>
      </c>
      <c r="L24" s="146">
        <v>989.0</v>
      </c>
      <c r="M24" s="145">
        <v>0.0</v>
      </c>
      <c r="N24" s="145">
        <v>0.0</v>
      </c>
      <c r="O24" s="145">
        <v>0.0</v>
      </c>
      <c r="P24" s="145">
        <v>0.0</v>
      </c>
      <c r="Q24" s="145">
        <v>0.0</v>
      </c>
      <c r="R24" s="145">
        <v>0.0</v>
      </c>
      <c r="S24" s="146">
        <v>3990.0</v>
      </c>
      <c r="T24" s="146">
        <v>459.0</v>
      </c>
      <c r="U24" s="146">
        <v>166.0</v>
      </c>
      <c r="V24" s="146">
        <v>0.0</v>
      </c>
      <c r="W24" s="146">
        <v>1126.0</v>
      </c>
      <c r="X24" s="148">
        <f t="shared" si="1"/>
        <v>13420</v>
      </c>
      <c r="Y24" s="149">
        <f t="shared" si="4"/>
        <v>602</v>
      </c>
      <c r="Z24" s="150">
        <f t="shared" si="5"/>
        <v>0.04485842027</v>
      </c>
      <c r="AA24" s="151">
        <f t="shared" si="6"/>
        <v>10703</v>
      </c>
      <c r="AB24" s="150">
        <f t="shared" si="7"/>
        <v>0.7975409836</v>
      </c>
      <c r="AC24" s="151">
        <f t="shared" si="2"/>
        <v>2115</v>
      </c>
      <c r="AD24" s="150">
        <f t="shared" si="8"/>
        <v>0.1576005961</v>
      </c>
      <c r="AE24" s="149">
        <f t="shared" si="9"/>
        <v>13420</v>
      </c>
      <c r="AF24" s="151"/>
    </row>
    <row r="25">
      <c r="A25" s="38"/>
      <c r="B25" s="4">
        <v>6106.0</v>
      </c>
      <c r="C25" s="5" t="s">
        <v>40</v>
      </c>
      <c r="D25" s="130">
        <v>0.0</v>
      </c>
      <c r="E25" s="171">
        <f>25+1</f>
        <v>26</v>
      </c>
      <c r="F25" s="130">
        <f>133+7</f>
        <v>140</v>
      </c>
      <c r="G25" s="130">
        <f>293+7</f>
        <v>300</v>
      </c>
      <c r="H25" s="131">
        <v>0.0</v>
      </c>
      <c r="I25" s="131">
        <f>2616+2</f>
        <v>2618</v>
      </c>
      <c r="J25" s="131">
        <v>746.0</v>
      </c>
      <c r="K25" s="131">
        <f>715+2</f>
        <v>717</v>
      </c>
      <c r="L25" s="131">
        <v>1192.0</v>
      </c>
      <c r="M25" s="130">
        <v>0.0</v>
      </c>
      <c r="N25" s="130">
        <v>0.0</v>
      </c>
      <c r="O25" s="130">
        <v>0.0</v>
      </c>
      <c r="P25" s="130">
        <v>0.0</v>
      </c>
      <c r="Q25" s="130">
        <v>0.0</v>
      </c>
      <c r="R25" s="130">
        <v>0.0</v>
      </c>
      <c r="S25" s="131">
        <v>1533.0</v>
      </c>
      <c r="T25" s="131">
        <v>278.0</v>
      </c>
      <c r="U25" s="131">
        <v>196.0</v>
      </c>
      <c r="V25" s="131">
        <v>0.0</v>
      </c>
      <c r="W25" s="131">
        <v>261.0</v>
      </c>
      <c r="X25" s="132">
        <f t="shared" si="1"/>
        <v>8007</v>
      </c>
      <c r="Y25" s="134">
        <f t="shared" si="4"/>
        <v>466</v>
      </c>
      <c r="Z25" s="172">
        <f t="shared" si="5"/>
        <v>0.05819907581</v>
      </c>
      <c r="AA25" s="93">
        <f t="shared" si="6"/>
        <v>6088</v>
      </c>
      <c r="AB25" s="172">
        <f t="shared" si="7"/>
        <v>0.7603347071</v>
      </c>
      <c r="AC25" s="93">
        <f t="shared" si="2"/>
        <v>1453</v>
      </c>
      <c r="AD25" s="172">
        <f t="shared" si="8"/>
        <v>0.1814662171</v>
      </c>
      <c r="AE25" s="134">
        <f t="shared" si="9"/>
        <v>8007</v>
      </c>
      <c r="AF25" s="93"/>
    </row>
    <row r="26">
      <c r="A26" s="38"/>
      <c r="B26" s="4">
        <v>6107.0</v>
      </c>
      <c r="C26" s="5" t="s">
        <v>41</v>
      </c>
      <c r="D26" s="130">
        <v>0.0</v>
      </c>
      <c r="E26" s="130">
        <v>29.0</v>
      </c>
      <c r="F26" s="130">
        <v>210.0</v>
      </c>
      <c r="G26" s="130">
        <f>499+30</f>
        <v>529</v>
      </c>
      <c r="H26" s="131">
        <v>0.0</v>
      </c>
      <c r="I26" s="131">
        <f>3474+1</f>
        <v>3475</v>
      </c>
      <c r="J26" s="131">
        <v>1386.0</v>
      </c>
      <c r="K26" s="131">
        <v>897.0</v>
      </c>
      <c r="L26" s="131">
        <v>1603.0</v>
      </c>
      <c r="M26" s="130">
        <v>0.0</v>
      </c>
      <c r="N26" s="130">
        <v>0.0</v>
      </c>
      <c r="O26" s="130">
        <v>0.0</v>
      </c>
      <c r="P26" s="130">
        <v>0.0</v>
      </c>
      <c r="Q26" s="130">
        <v>0.0</v>
      </c>
      <c r="R26" s="130">
        <v>0.0</v>
      </c>
      <c r="S26" s="131">
        <v>3426.0</v>
      </c>
      <c r="T26" s="131">
        <v>226.0</v>
      </c>
      <c r="U26" s="131">
        <v>195.0</v>
      </c>
      <c r="V26" s="131">
        <v>0.0</v>
      </c>
      <c r="W26" s="131">
        <v>257.0</v>
      </c>
      <c r="X26" s="132">
        <f t="shared" si="1"/>
        <v>12233</v>
      </c>
      <c r="Y26" s="134">
        <f t="shared" si="4"/>
        <v>768</v>
      </c>
      <c r="Z26" s="172">
        <f t="shared" si="5"/>
        <v>0.06278100221</v>
      </c>
      <c r="AA26" s="93">
        <f t="shared" si="6"/>
        <v>9605</v>
      </c>
      <c r="AB26" s="172">
        <f t="shared" si="7"/>
        <v>0.7851712581</v>
      </c>
      <c r="AC26" s="93">
        <f t="shared" si="2"/>
        <v>1860</v>
      </c>
      <c r="AD26" s="172">
        <f t="shared" si="8"/>
        <v>0.1520477397</v>
      </c>
      <c r="AE26" s="134">
        <f t="shared" si="9"/>
        <v>12233</v>
      </c>
      <c r="AF26" s="93"/>
    </row>
    <row r="27">
      <c r="A27" s="38"/>
      <c r="B27" s="4">
        <v>6108.0</v>
      </c>
      <c r="C27" s="5" t="s">
        <v>42</v>
      </c>
      <c r="D27" s="130">
        <v>0.0</v>
      </c>
      <c r="E27" s="130">
        <f>37+3</f>
        <v>40</v>
      </c>
      <c r="F27" s="130">
        <f>224+28</f>
        <v>252</v>
      </c>
      <c r="G27" s="130">
        <f>505+27</f>
        <v>532</v>
      </c>
      <c r="H27" s="131">
        <v>0.0</v>
      </c>
      <c r="I27" s="131">
        <v>4735.0</v>
      </c>
      <c r="J27" s="131">
        <v>1623.0</v>
      </c>
      <c r="K27" s="131">
        <v>1080.0</v>
      </c>
      <c r="L27" s="131">
        <v>2032.0</v>
      </c>
      <c r="M27" s="130">
        <v>0.0</v>
      </c>
      <c r="N27" s="130">
        <v>0.0</v>
      </c>
      <c r="O27" s="130">
        <v>0.0</v>
      </c>
      <c r="P27" s="130">
        <v>0.0</v>
      </c>
      <c r="Q27" s="130">
        <v>0.0</v>
      </c>
      <c r="R27" s="130">
        <v>0.0</v>
      </c>
      <c r="S27" s="131">
        <v>7683.0</v>
      </c>
      <c r="T27" s="131">
        <v>272.0</v>
      </c>
      <c r="U27" s="131">
        <v>288.0</v>
      </c>
      <c r="V27" s="131">
        <v>0.0</v>
      </c>
      <c r="W27" s="131">
        <v>621.0</v>
      </c>
      <c r="X27" s="132">
        <f t="shared" si="1"/>
        <v>19158</v>
      </c>
      <c r="Y27" s="134">
        <f t="shared" si="4"/>
        <v>824</v>
      </c>
      <c r="Z27" s="172">
        <f t="shared" si="5"/>
        <v>0.04301075269</v>
      </c>
      <c r="AA27" s="93">
        <f t="shared" si="6"/>
        <v>15681</v>
      </c>
      <c r="AB27" s="172">
        <f t="shared" si="7"/>
        <v>0.818509239</v>
      </c>
      <c r="AC27" s="93">
        <f t="shared" si="2"/>
        <v>2653</v>
      </c>
      <c r="AD27" s="172">
        <f t="shared" si="8"/>
        <v>0.1384800084</v>
      </c>
      <c r="AE27" s="134">
        <f t="shared" si="9"/>
        <v>19158</v>
      </c>
      <c r="AF27" s="93"/>
    </row>
    <row r="28">
      <c r="A28" s="38"/>
      <c r="B28" s="4">
        <v>6109.0</v>
      </c>
      <c r="C28" s="5" t="s">
        <v>43</v>
      </c>
      <c r="D28" s="130">
        <v>0.0</v>
      </c>
      <c r="E28" s="130">
        <f>31+1</f>
        <v>32</v>
      </c>
      <c r="F28" s="130">
        <f>187+2</f>
        <v>189</v>
      </c>
      <c r="G28" s="130">
        <f>383+3</f>
        <v>386</v>
      </c>
      <c r="H28" s="131">
        <v>0.0</v>
      </c>
      <c r="I28" s="131">
        <f>3117+2</f>
        <v>3119</v>
      </c>
      <c r="J28" s="131">
        <v>898.0</v>
      </c>
      <c r="K28" s="131">
        <v>701.0</v>
      </c>
      <c r="L28" s="131">
        <v>1208.0</v>
      </c>
      <c r="M28" s="130">
        <v>0.0</v>
      </c>
      <c r="N28" s="130">
        <v>0.0</v>
      </c>
      <c r="O28" s="130">
        <v>0.0</v>
      </c>
      <c r="P28" s="130">
        <v>0.0</v>
      </c>
      <c r="Q28" s="130">
        <v>0.0</v>
      </c>
      <c r="R28" s="130">
        <v>0.0</v>
      </c>
      <c r="S28" s="131">
        <v>2724.0</v>
      </c>
      <c r="T28" s="131">
        <v>153.0</v>
      </c>
      <c r="U28" s="131">
        <v>182.0</v>
      </c>
      <c r="V28" s="131">
        <v>0.0</v>
      </c>
      <c r="W28" s="131">
        <v>378.0</v>
      </c>
      <c r="X28" s="132">
        <f t="shared" si="1"/>
        <v>9970</v>
      </c>
      <c r="Y28" s="134">
        <f t="shared" si="4"/>
        <v>607</v>
      </c>
      <c r="Z28" s="172">
        <f t="shared" si="5"/>
        <v>0.06088264794</v>
      </c>
      <c r="AA28" s="93">
        <f t="shared" si="6"/>
        <v>7777</v>
      </c>
      <c r="AB28" s="172">
        <f t="shared" si="7"/>
        <v>0.7800401204</v>
      </c>
      <c r="AC28" s="93">
        <f t="shared" si="2"/>
        <v>1586</v>
      </c>
      <c r="AD28" s="172">
        <f t="shared" si="8"/>
        <v>0.1590772317</v>
      </c>
      <c r="AE28" s="134">
        <f t="shared" si="9"/>
        <v>9970</v>
      </c>
      <c r="AF28" s="93"/>
    </row>
    <row r="29">
      <c r="A29" s="38"/>
      <c r="B29" s="4">
        <v>6110.0</v>
      </c>
      <c r="C29" s="5" t="s">
        <v>44</v>
      </c>
      <c r="D29" s="130">
        <v>0.0</v>
      </c>
      <c r="E29" s="130">
        <f>36+1</f>
        <v>37</v>
      </c>
      <c r="F29" s="130">
        <f>215+6</f>
        <v>221</v>
      </c>
      <c r="G29" s="130">
        <f>670+21</f>
        <v>691</v>
      </c>
      <c r="H29" s="131">
        <v>0.0</v>
      </c>
      <c r="I29" s="131">
        <f>4928+25</f>
        <v>4953</v>
      </c>
      <c r="J29" s="131">
        <f>1573+5</f>
        <v>1578</v>
      </c>
      <c r="K29" s="131">
        <f>1048+1</f>
        <v>1049</v>
      </c>
      <c r="L29" s="131">
        <v>1646.0</v>
      </c>
      <c r="M29" s="130">
        <v>0.0</v>
      </c>
      <c r="N29" s="130">
        <v>0.0</v>
      </c>
      <c r="O29" s="130">
        <v>0.0</v>
      </c>
      <c r="P29" s="130">
        <v>0.0</v>
      </c>
      <c r="Q29" s="130">
        <v>0.0</v>
      </c>
      <c r="R29" s="130">
        <v>0.0</v>
      </c>
      <c r="S29" s="131">
        <v>6428.0</v>
      </c>
      <c r="T29" s="131">
        <v>399.0</v>
      </c>
      <c r="U29" s="131">
        <v>290.0</v>
      </c>
      <c r="V29" s="131">
        <v>0.0</v>
      </c>
      <c r="W29" s="131">
        <v>2862.0</v>
      </c>
      <c r="X29" s="132">
        <f t="shared" si="1"/>
        <v>20154</v>
      </c>
      <c r="Y29" s="134">
        <f t="shared" si="4"/>
        <v>949</v>
      </c>
      <c r="Z29" s="172">
        <f t="shared" si="5"/>
        <v>0.04708742681</v>
      </c>
      <c r="AA29" s="93">
        <f t="shared" si="6"/>
        <v>14697</v>
      </c>
      <c r="AB29" s="172">
        <f t="shared" si="7"/>
        <v>0.7292348913</v>
      </c>
      <c r="AC29" s="93">
        <f t="shared" si="2"/>
        <v>4508</v>
      </c>
      <c r="AD29" s="172">
        <f t="shared" si="8"/>
        <v>0.2236776818</v>
      </c>
      <c r="AE29" s="134">
        <f t="shared" si="9"/>
        <v>20154</v>
      </c>
      <c r="AF29" s="93"/>
    </row>
    <row r="30">
      <c r="A30" s="38"/>
      <c r="B30" s="43">
        <v>6111.0</v>
      </c>
      <c r="C30" s="44" t="s">
        <v>45</v>
      </c>
      <c r="D30" s="173">
        <v>0.0</v>
      </c>
      <c r="E30" s="173">
        <v>24.0</v>
      </c>
      <c r="F30" s="173">
        <v>188.0</v>
      </c>
      <c r="G30" s="173">
        <v>428.0</v>
      </c>
      <c r="H30" s="174">
        <v>0.0</v>
      </c>
      <c r="I30" s="174">
        <v>4389.0</v>
      </c>
      <c r="J30" s="174">
        <v>1173.0</v>
      </c>
      <c r="K30" s="174">
        <v>620.0</v>
      </c>
      <c r="L30" s="174">
        <v>745.0</v>
      </c>
      <c r="M30" s="173">
        <v>0.0</v>
      </c>
      <c r="N30" s="173">
        <v>0.0</v>
      </c>
      <c r="O30" s="173">
        <v>0.0</v>
      </c>
      <c r="P30" s="173">
        <v>0.0</v>
      </c>
      <c r="Q30" s="173">
        <v>0.0</v>
      </c>
      <c r="R30" s="173">
        <v>0.0</v>
      </c>
      <c r="S30" s="174">
        <v>3469.0</v>
      </c>
      <c r="T30" s="174">
        <v>782.0</v>
      </c>
      <c r="U30" s="174">
        <v>303.0</v>
      </c>
      <c r="V30" s="174">
        <v>0.0</v>
      </c>
      <c r="W30" s="174">
        <v>290.0</v>
      </c>
      <c r="X30" s="175">
        <f t="shared" si="1"/>
        <v>12411</v>
      </c>
      <c r="Y30" s="176">
        <f t="shared" si="4"/>
        <v>640</v>
      </c>
      <c r="Z30" s="177">
        <f t="shared" si="5"/>
        <v>0.05156715817</v>
      </c>
      <c r="AA30" s="178">
        <f t="shared" si="6"/>
        <v>10736</v>
      </c>
      <c r="AB30" s="177">
        <f t="shared" si="7"/>
        <v>0.8650390782</v>
      </c>
      <c r="AC30" s="178">
        <f t="shared" si="2"/>
        <v>1035</v>
      </c>
      <c r="AD30" s="177">
        <f t="shared" si="8"/>
        <v>0.0833937636</v>
      </c>
      <c r="AE30" s="176">
        <f t="shared" si="9"/>
        <v>12411</v>
      </c>
      <c r="AF30" s="86"/>
    </row>
    <row r="31">
      <c r="A31" s="38"/>
      <c r="B31" s="179">
        <v>6112.0</v>
      </c>
      <c r="C31" s="180" t="s">
        <v>46</v>
      </c>
      <c r="D31" s="181">
        <v>0.0</v>
      </c>
      <c r="E31" s="181">
        <v>32.0</v>
      </c>
      <c r="F31" s="181">
        <f>184+3</f>
        <v>187</v>
      </c>
      <c r="G31" s="181">
        <f>388+5</f>
        <v>393</v>
      </c>
      <c r="H31" s="182">
        <v>1.0</v>
      </c>
      <c r="I31" s="182">
        <f>2749+41</f>
        <v>2790</v>
      </c>
      <c r="J31" s="182">
        <f>966+1</f>
        <v>967</v>
      </c>
      <c r="K31" s="182">
        <v>626.0</v>
      </c>
      <c r="L31" s="182">
        <v>854.0</v>
      </c>
      <c r="M31" s="181">
        <v>0.0</v>
      </c>
      <c r="N31" s="181">
        <v>0.0</v>
      </c>
      <c r="O31" s="181">
        <v>0.0</v>
      </c>
      <c r="P31" s="181">
        <v>0.0</v>
      </c>
      <c r="Q31" s="181">
        <v>0.0</v>
      </c>
      <c r="R31" s="181">
        <v>0.0</v>
      </c>
      <c r="S31" s="182">
        <v>3088.0</v>
      </c>
      <c r="T31" s="182">
        <v>135.0</v>
      </c>
      <c r="U31" s="182">
        <v>221.0</v>
      </c>
      <c r="V31" s="182">
        <v>0.0</v>
      </c>
      <c r="W31" s="182">
        <v>578.0</v>
      </c>
      <c r="X31" s="183">
        <f t="shared" si="1"/>
        <v>9872</v>
      </c>
      <c r="Y31" s="184">
        <f t="shared" si="4"/>
        <v>613</v>
      </c>
      <c r="Z31" s="185">
        <f t="shared" si="5"/>
        <v>0.06209481361</v>
      </c>
      <c r="AA31" s="186">
        <f t="shared" si="6"/>
        <v>7827</v>
      </c>
      <c r="AB31" s="185">
        <f t="shared" si="7"/>
        <v>0.7928484603</v>
      </c>
      <c r="AC31" s="186">
        <f t="shared" si="2"/>
        <v>1432</v>
      </c>
      <c r="AD31" s="185">
        <f t="shared" si="8"/>
        <v>0.1450567261</v>
      </c>
      <c r="AE31" s="184">
        <f t="shared" si="9"/>
        <v>9872</v>
      </c>
      <c r="AF31" s="186"/>
    </row>
    <row r="32">
      <c r="A32" s="38"/>
      <c r="B32" s="43">
        <v>6113.0</v>
      </c>
      <c r="C32" s="44" t="s">
        <v>47</v>
      </c>
      <c r="D32" s="173">
        <v>0.0</v>
      </c>
      <c r="E32" s="173">
        <v>34.0</v>
      </c>
      <c r="F32" s="173">
        <f>208+1</f>
        <v>209</v>
      </c>
      <c r="G32" s="173">
        <f>456+2</f>
        <v>458</v>
      </c>
      <c r="H32" s="174">
        <v>0.0</v>
      </c>
      <c r="I32" s="174">
        <f>4013+4</f>
        <v>4017</v>
      </c>
      <c r="J32" s="174">
        <v>1618.0</v>
      </c>
      <c r="K32" s="174">
        <v>932.0</v>
      </c>
      <c r="L32" s="174">
        <v>927.0</v>
      </c>
      <c r="M32" s="173">
        <v>0.0</v>
      </c>
      <c r="N32" s="173">
        <v>0.0</v>
      </c>
      <c r="O32" s="173">
        <v>0.0</v>
      </c>
      <c r="P32" s="173">
        <v>0.0</v>
      </c>
      <c r="Q32" s="173">
        <v>0.0</v>
      </c>
      <c r="R32" s="173">
        <v>0.0</v>
      </c>
      <c r="S32" s="174">
        <v>5993.0</v>
      </c>
      <c r="T32" s="174">
        <v>1711.0</v>
      </c>
      <c r="U32" s="174">
        <v>541.0</v>
      </c>
      <c r="V32" s="174">
        <v>0.0</v>
      </c>
      <c r="W32" s="174">
        <v>2033.0</v>
      </c>
      <c r="X32" s="175">
        <f t="shared" si="1"/>
        <v>18473</v>
      </c>
      <c r="Y32" s="176">
        <f t="shared" si="4"/>
        <v>701</v>
      </c>
      <c r="Z32" s="177">
        <f t="shared" si="5"/>
        <v>0.0379472744</v>
      </c>
      <c r="AA32" s="178">
        <f t="shared" si="6"/>
        <v>14812</v>
      </c>
      <c r="AB32" s="177">
        <f t="shared" si="7"/>
        <v>0.8018188708</v>
      </c>
      <c r="AC32" s="178">
        <f t="shared" si="2"/>
        <v>2960</v>
      </c>
      <c r="AD32" s="177">
        <f t="shared" si="8"/>
        <v>0.1602338548</v>
      </c>
      <c r="AE32" s="176">
        <f t="shared" si="9"/>
        <v>18473</v>
      </c>
      <c r="AF32" s="93"/>
    </row>
    <row r="33">
      <c r="A33" s="38"/>
      <c r="B33" s="43">
        <v>6114.0</v>
      </c>
      <c r="C33" s="44" t="s">
        <v>48</v>
      </c>
      <c r="D33" s="173">
        <v>0.0</v>
      </c>
      <c r="E33" s="173">
        <v>32.0</v>
      </c>
      <c r="F33" s="173">
        <f>165+1</f>
        <v>166</v>
      </c>
      <c r="G33" s="173">
        <f>459+3</f>
        <v>462</v>
      </c>
      <c r="H33" s="174">
        <v>2.0</v>
      </c>
      <c r="I33" s="174">
        <v>3685.0</v>
      </c>
      <c r="J33" s="174">
        <v>1064.0</v>
      </c>
      <c r="K33" s="174">
        <v>773.0</v>
      </c>
      <c r="L33" s="174">
        <v>1477.0</v>
      </c>
      <c r="M33" s="173">
        <v>0.0</v>
      </c>
      <c r="N33" s="173">
        <v>0.0</v>
      </c>
      <c r="O33" s="173">
        <v>0.0</v>
      </c>
      <c r="P33" s="173">
        <v>0.0</v>
      </c>
      <c r="Q33" s="173">
        <v>0.0</v>
      </c>
      <c r="R33" s="173">
        <v>0.0</v>
      </c>
      <c r="S33" s="174">
        <v>2764.0</v>
      </c>
      <c r="T33" s="174">
        <v>25.0</v>
      </c>
      <c r="U33" s="174">
        <v>115.0</v>
      </c>
      <c r="V33" s="174">
        <v>0.0</v>
      </c>
      <c r="W33" s="174">
        <v>786.0</v>
      </c>
      <c r="X33" s="175">
        <f t="shared" si="1"/>
        <v>11351</v>
      </c>
      <c r="Y33" s="176">
        <f t="shared" si="4"/>
        <v>662</v>
      </c>
      <c r="Z33" s="177">
        <f t="shared" si="5"/>
        <v>0.05832085279</v>
      </c>
      <c r="AA33" s="178">
        <f t="shared" si="6"/>
        <v>8426</v>
      </c>
      <c r="AB33" s="177">
        <f t="shared" si="7"/>
        <v>0.7423134526</v>
      </c>
      <c r="AC33" s="178">
        <f t="shared" si="2"/>
        <v>2263</v>
      </c>
      <c r="AD33" s="177">
        <f t="shared" si="8"/>
        <v>0.1993656947</v>
      </c>
      <c r="AE33" s="176">
        <f t="shared" si="9"/>
        <v>11351</v>
      </c>
      <c r="AF33" s="93"/>
    </row>
    <row r="34">
      <c r="A34" s="38"/>
      <c r="B34" s="4">
        <v>6115.0</v>
      </c>
      <c r="C34" s="5" t="s">
        <v>49</v>
      </c>
      <c r="D34" s="130">
        <v>0.0</v>
      </c>
      <c r="E34" s="130">
        <f>27+1</f>
        <v>28</v>
      </c>
      <c r="F34" s="130">
        <f>193+8</f>
        <v>201</v>
      </c>
      <c r="G34" s="130">
        <f>481+11</f>
        <v>492</v>
      </c>
      <c r="H34" s="131">
        <v>0.0</v>
      </c>
      <c r="I34" s="131">
        <f>3591+1</f>
        <v>3592</v>
      </c>
      <c r="J34" s="131">
        <f>1384+4</f>
        <v>1388</v>
      </c>
      <c r="K34" s="187">
        <v>816.0</v>
      </c>
      <c r="L34" s="131">
        <v>1628.0</v>
      </c>
      <c r="M34" s="130">
        <v>0.0</v>
      </c>
      <c r="N34" s="130">
        <v>0.0</v>
      </c>
      <c r="O34" s="130">
        <v>0.0</v>
      </c>
      <c r="P34" s="130">
        <v>0.0</v>
      </c>
      <c r="Q34" s="130">
        <v>0.0</v>
      </c>
      <c r="R34" s="130">
        <v>0.0</v>
      </c>
      <c r="S34" s="131">
        <v>2877.0</v>
      </c>
      <c r="T34" s="131">
        <v>215.0</v>
      </c>
      <c r="U34" s="131">
        <v>201.0</v>
      </c>
      <c r="V34" s="131">
        <v>0.0</v>
      </c>
      <c r="W34" s="131">
        <v>302.0</v>
      </c>
      <c r="X34" s="132">
        <f t="shared" si="1"/>
        <v>11740</v>
      </c>
      <c r="Y34" s="134">
        <f t="shared" si="4"/>
        <v>721</v>
      </c>
      <c r="Z34" s="172">
        <f t="shared" si="5"/>
        <v>0.06141396934</v>
      </c>
      <c r="AA34" s="93">
        <f t="shared" si="6"/>
        <v>9089</v>
      </c>
      <c r="AB34" s="172">
        <f t="shared" si="7"/>
        <v>0.7741908007</v>
      </c>
      <c r="AC34" s="93">
        <f t="shared" si="2"/>
        <v>1930</v>
      </c>
      <c r="AD34" s="172">
        <f t="shared" si="8"/>
        <v>0.16439523</v>
      </c>
      <c r="AE34" s="134">
        <f t="shared" si="9"/>
        <v>11740</v>
      </c>
      <c r="AF34" s="93"/>
    </row>
    <row r="35">
      <c r="A35" s="38"/>
      <c r="B35" s="179">
        <v>6116.0</v>
      </c>
      <c r="C35" s="180" t="s">
        <v>50</v>
      </c>
      <c r="D35" s="181">
        <v>0.0</v>
      </c>
      <c r="E35" s="181">
        <v>34.0</v>
      </c>
      <c r="F35" s="181">
        <v>186.0</v>
      </c>
      <c r="G35" s="181">
        <f>390+2</f>
        <v>392</v>
      </c>
      <c r="H35" s="182">
        <v>0.0</v>
      </c>
      <c r="I35" s="182">
        <f>3471+43</f>
        <v>3514</v>
      </c>
      <c r="J35" s="182">
        <f>1773+4</f>
        <v>1777</v>
      </c>
      <c r="K35" s="182">
        <v>933.0</v>
      </c>
      <c r="L35" s="182">
        <v>1087.0</v>
      </c>
      <c r="M35" s="181">
        <v>0.0</v>
      </c>
      <c r="N35" s="181">
        <v>0.0</v>
      </c>
      <c r="O35" s="181">
        <v>0.0</v>
      </c>
      <c r="P35" s="181">
        <v>0.0</v>
      </c>
      <c r="Q35" s="181">
        <v>0.0</v>
      </c>
      <c r="R35" s="181">
        <v>0.0</v>
      </c>
      <c r="S35" s="182">
        <v>3485.0</v>
      </c>
      <c r="T35" s="182">
        <v>71.0</v>
      </c>
      <c r="U35" s="182">
        <v>335.0</v>
      </c>
      <c r="V35" s="182">
        <v>0.0</v>
      </c>
      <c r="W35" s="182">
        <v>274.0</v>
      </c>
      <c r="X35" s="183">
        <f t="shared" si="1"/>
        <v>12088</v>
      </c>
      <c r="Y35" s="184">
        <f t="shared" si="4"/>
        <v>612</v>
      </c>
      <c r="Z35" s="185">
        <f t="shared" si="5"/>
        <v>0.0506287227</v>
      </c>
      <c r="AA35" s="186">
        <f t="shared" si="6"/>
        <v>10115</v>
      </c>
      <c r="AB35" s="185">
        <f t="shared" si="7"/>
        <v>0.836780278</v>
      </c>
      <c r="AC35" s="186">
        <f t="shared" si="2"/>
        <v>1361</v>
      </c>
      <c r="AD35" s="185">
        <f t="shared" si="8"/>
        <v>0.1125909993</v>
      </c>
      <c r="AE35" s="184">
        <f t="shared" si="9"/>
        <v>12088</v>
      </c>
      <c r="AF35" s="186"/>
    </row>
    <row r="36">
      <c r="A36" s="38"/>
      <c r="B36" s="188">
        <v>6117.0</v>
      </c>
      <c r="C36" s="52" t="s">
        <v>51</v>
      </c>
      <c r="D36" s="189">
        <v>0.0</v>
      </c>
      <c r="E36" s="189">
        <v>33.0</v>
      </c>
      <c r="F36" s="189">
        <v>145.0</v>
      </c>
      <c r="G36" s="189">
        <f>211+1</f>
        <v>212</v>
      </c>
      <c r="H36" s="190">
        <v>2.0</v>
      </c>
      <c r="I36" s="190">
        <v>2735.0</v>
      </c>
      <c r="J36" s="190">
        <v>718.0</v>
      </c>
      <c r="K36" s="190">
        <v>607.0</v>
      </c>
      <c r="L36" s="190">
        <v>648.0</v>
      </c>
      <c r="M36" s="189">
        <v>0.0</v>
      </c>
      <c r="N36" s="189">
        <v>0.0</v>
      </c>
      <c r="O36" s="189">
        <v>0.0</v>
      </c>
      <c r="P36" s="189">
        <v>0.0</v>
      </c>
      <c r="Q36" s="189">
        <v>0.0</v>
      </c>
      <c r="R36" s="189">
        <v>0.0</v>
      </c>
      <c r="S36" s="190">
        <v>2615.0</v>
      </c>
      <c r="T36" s="190">
        <v>53.0</v>
      </c>
      <c r="U36" s="190">
        <v>246.0</v>
      </c>
      <c r="V36" s="190">
        <v>0.0</v>
      </c>
      <c r="W36" s="190">
        <v>459.0</v>
      </c>
      <c r="X36" s="191">
        <f t="shared" si="1"/>
        <v>8473</v>
      </c>
      <c r="Y36" s="192">
        <f t="shared" si="4"/>
        <v>392</v>
      </c>
      <c r="Z36" s="193">
        <f t="shared" si="5"/>
        <v>0.04626460522</v>
      </c>
      <c r="AA36" s="194">
        <f t="shared" si="6"/>
        <v>6974</v>
      </c>
      <c r="AB36" s="193">
        <f t="shared" si="7"/>
        <v>0.8230850938</v>
      </c>
      <c r="AC36" s="194">
        <f t="shared" si="2"/>
        <v>1107</v>
      </c>
      <c r="AD36" s="193">
        <f t="shared" si="8"/>
        <v>0.130650301</v>
      </c>
      <c r="AE36" s="192">
        <f t="shared" si="9"/>
        <v>8473</v>
      </c>
      <c r="AF36" s="194"/>
    </row>
    <row r="37">
      <c r="A37" s="38"/>
      <c r="B37" s="4">
        <v>6118.0</v>
      </c>
      <c r="C37" s="5" t="s">
        <v>52</v>
      </c>
      <c r="D37" s="130">
        <v>0.0</v>
      </c>
      <c r="E37" s="130">
        <v>27.0</v>
      </c>
      <c r="F37" s="130">
        <v>100.0</v>
      </c>
      <c r="G37" s="130">
        <v>108.0</v>
      </c>
      <c r="H37" s="131">
        <v>0.0</v>
      </c>
      <c r="I37" s="131">
        <f>1158+9</f>
        <v>1167</v>
      </c>
      <c r="J37" s="131">
        <v>664.0</v>
      </c>
      <c r="K37" s="131">
        <v>407.0</v>
      </c>
      <c r="L37" s="131">
        <v>363.0</v>
      </c>
      <c r="M37" s="130">
        <v>0.0</v>
      </c>
      <c r="N37" s="130">
        <v>0.0</v>
      </c>
      <c r="O37" s="130">
        <v>0.0</v>
      </c>
      <c r="P37" s="130">
        <v>0.0</v>
      </c>
      <c r="Q37" s="130">
        <v>0.0</v>
      </c>
      <c r="R37" s="130">
        <v>0.0</v>
      </c>
      <c r="S37" s="131">
        <v>1480.0</v>
      </c>
      <c r="T37" s="131">
        <v>197.0</v>
      </c>
      <c r="U37" s="131">
        <v>113.0</v>
      </c>
      <c r="V37" s="131">
        <v>0.0</v>
      </c>
      <c r="W37" s="131">
        <v>50.0</v>
      </c>
      <c r="X37" s="132">
        <f t="shared" si="1"/>
        <v>4676</v>
      </c>
      <c r="Y37" s="134">
        <f t="shared" si="4"/>
        <v>235</v>
      </c>
      <c r="Z37" s="172">
        <f t="shared" si="5"/>
        <v>0.0502566296</v>
      </c>
      <c r="AA37" s="93">
        <f t="shared" si="6"/>
        <v>4028</v>
      </c>
      <c r="AB37" s="172">
        <f t="shared" si="7"/>
        <v>0.8614200171</v>
      </c>
      <c r="AC37" s="93">
        <f t="shared" si="2"/>
        <v>413</v>
      </c>
      <c r="AD37" s="172">
        <f t="shared" si="8"/>
        <v>0.08832335329</v>
      </c>
      <c r="AE37" s="134">
        <f t="shared" si="9"/>
        <v>4676</v>
      </c>
      <c r="AF37" s="93"/>
    </row>
    <row r="38">
      <c r="A38" s="38"/>
      <c r="B38" s="4">
        <v>6171.0</v>
      </c>
      <c r="C38" s="5" t="s">
        <v>53</v>
      </c>
      <c r="D38" s="130">
        <v>0.0</v>
      </c>
      <c r="E38" s="171">
        <f>35+5</f>
        <v>40</v>
      </c>
      <c r="F38" s="171">
        <f>170+14</f>
        <v>184</v>
      </c>
      <c r="G38" s="171">
        <f>1068+32</f>
        <v>1100</v>
      </c>
      <c r="H38" s="131">
        <v>0.0</v>
      </c>
      <c r="I38" s="131">
        <v>4031.0</v>
      </c>
      <c r="J38" s="187">
        <f>1168+37</f>
        <v>1205</v>
      </c>
      <c r="K38" s="131">
        <v>1070.0</v>
      </c>
      <c r="L38" s="131">
        <v>2566.0</v>
      </c>
      <c r="M38" s="130">
        <v>0.0</v>
      </c>
      <c r="N38" s="130">
        <v>0.0</v>
      </c>
      <c r="O38" s="130">
        <v>0.0</v>
      </c>
      <c r="P38" s="130">
        <v>0.0</v>
      </c>
      <c r="Q38" s="130">
        <v>0.0</v>
      </c>
      <c r="R38" s="130">
        <v>0.0</v>
      </c>
      <c r="S38" s="131">
        <v>4066.0</v>
      </c>
      <c r="T38" s="131">
        <v>389.0</v>
      </c>
      <c r="U38" s="131">
        <v>478.0</v>
      </c>
      <c r="V38" s="131">
        <v>0.0</v>
      </c>
      <c r="W38" s="131">
        <v>897.0</v>
      </c>
      <c r="X38" s="132">
        <f t="shared" si="1"/>
        <v>16026</v>
      </c>
      <c r="Y38" s="134">
        <f t="shared" si="4"/>
        <v>1324</v>
      </c>
      <c r="Z38" s="172">
        <f t="shared" si="5"/>
        <v>0.08261574941</v>
      </c>
      <c r="AA38" s="93">
        <f t="shared" si="6"/>
        <v>11239</v>
      </c>
      <c r="AB38" s="172">
        <f t="shared" si="7"/>
        <v>0.7012978909</v>
      </c>
      <c r="AC38" s="93">
        <f t="shared" si="2"/>
        <v>3463</v>
      </c>
      <c r="AD38" s="172">
        <f t="shared" si="8"/>
        <v>0.2160863597</v>
      </c>
      <c r="AE38" s="134">
        <f t="shared" si="9"/>
        <v>16026</v>
      </c>
      <c r="AF38" s="93"/>
    </row>
    <row r="39">
      <c r="A39" s="38"/>
      <c r="B39" s="4">
        <v>6172.0</v>
      </c>
      <c r="C39" s="5" t="s">
        <v>54</v>
      </c>
      <c r="D39" s="130">
        <v>0.0</v>
      </c>
      <c r="E39" s="130">
        <f>30+1</f>
        <v>31</v>
      </c>
      <c r="F39" s="171">
        <f>137+5</f>
        <v>142</v>
      </c>
      <c r="G39" s="171">
        <f>451+1</f>
        <v>452</v>
      </c>
      <c r="H39" s="131">
        <v>0.0</v>
      </c>
      <c r="I39" s="131">
        <f>1842+15</f>
        <v>1857</v>
      </c>
      <c r="J39" s="131">
        <v>667.0</v>
      </c>
      <c r="K39" s="131">
        <v>773.0</v>
      </c>
      <c r="L39" s="131">
        <v>1497.0</v>
      </c>
      <c r="M39" s="130">
        <v>0.0</v>
      </c>
      <c r="N39" s="130">
        <v>0.0</v>
      </c>
      <c r="O39" s="130">
        <v>0.0</v>
      </c>
      <c r="P39" s="130">
        <v>0.0</v>
      </c>
      <c r="Q39" s="130">
        <v>0.0</v>
      </c>
      <c r="R39" s="130">
        <v>0.0</v>
      </c>
      <c r="S39" s="131">
        <v>1991.0</v>
      </c>
      <c r="T39" s="131">
        <v>75.0</v>
      </c>
      <c r="U39" s="131">
        <v>112.0</v>
      </c>
      <c r="V39" s="131">
        <v>1.0</v>
      </c>
      <c r="W39" s="131">
        <v>237.0</v>
      </c>
      <c r="X39" s="132">
        <f t="shared" si="1"/>
        <v>7835</v>
      </c>
      <c r="Y39" s="134">
        <f t="shared" si="4"/>
        <v>625</v>
      </c>
      <c r="Z39" s="172">
        <f t="shared" si="5"/>
        <v>0.07977026165</v>
      </c>
      <c r="AA39" s="93">
        <f t="shared" si="6"/>
        <v>5476</v>
      </c>
      <c r="AB39" s="172">
        <f t="shared" si="7"/>
        <v>0.6989151244</v>
      </c>
      <c r="AC39" s="93">
        <f t="shared" si="2"/>
        <v>1734</v>
      </c>
      <c r="AD39" s="172">
        <f t="shared" si="8"/>
        <v>0.2213146139</v>
      </c>
      <c r="AE39" s="134">
        <f t="shared" si="9"/>
        <v>7835</v>
      </c>
      <c r="AF39" s="93"/>
    </row>
    <row r="40">
      <c r="A40" s="38"/>
      <c r="B40" s="195">
        <v>6173.0</v>
      </c>
      <c r="C40" s="196" t="s">
        <v>55</v>
      </c>
      <c r="D40" s="197">
        <v>0.0</v>
      </c>
      <c r="E40" s="197">
        <v>31.0</v>
      </c>
      <c r="F40" s="197">
        <v>121.0</v>
      </c>
      <c r="G40" s="197">
        <f>348+6</f>
        <v>354</v>
      </c>
      <c r="H40" s="198">
        <v>0.0</v>
      </c>
      <c r="I40" s="198">
        <v>689.0</v>
      </c>
      <c r="J40" s="198">
        <v>529.0</v>
      </c>
      <c r="K40" s="198">
        <v>339.0</v>
      </c>
      <c r="L40" s="198">
        <v>723.0</v>
      </c>
      <c r="M40" s="197">
        <v>0.0</v>
      </c>
      <c r="N40" s="197">
        <v>0.0</v>
      </c>
      <c r="O40" s="197">
        <v>0.0</v>
      </c>
      <c r="P40" s="197">
        <v>0.0</v>
      </c>
      <c r="Q40" s="197">
        <v>0.0</v>
      </c>
      <c r="R40" s="197">
        <v>0.0</v>
      </c>
      <c r="S40" s="198">
        <v>676.0</v>
      </c>
      <c r="T40" s="198">
        <v>71.0</v>
      </c>
      <c r="U40" s="198">
        <v>33.0</v>
      </c>
      <c r="V40" s="198">
        <v>0.0</v>
      </c>
      <c r="W40" s="198">
        <v>76.0</v>
      </c>
      <c r="X40" s="199">
        <f t="shared" si="1"/>
        <v>3642</v>
      </c>
      <c r="Y40" s="200">
        <f t="shared" si="4"/>
        <v>506</v>
      </c>
      <c r="Z40" s="201">
        <f t="shared" si="5"/>
        <v>0.1389346513</v>
      </c>
      <c r="AA40" s="202">
        <f t="shared" si="6"/>
        <v>2337</v>
      </c>
      <c r="AB40" s="201">
        <f t="shared" si="7"/>
        <v>0.6416803954</v>
      </c>
      <c r="AC40" s="202">
        <f t="shared" si="2"/>
        <v>799</v>
      </c>
      <c r="AD40" s="201">
        <f t="shared" si="8"/>
        <v>0.2193849533</v>
      </c>
      <c r="AE40" s="200">
        <f t="shared" si="9"/>
        <v>3642</v>
      </c>
      <c r="AF40" s="202"/>
    </row>
    <row r="41">
      <c r="A41" s="38"/>
      <c r="B41" s="4">
        <v>6174.0</v>
      </c>
      <c r="C41" s="5" t="s">
        <v>56</v>
      </c>
      <c r="D41" s="130">
        <v>0.0</v>
      </c>
      <c r="E41" s="130">
        <f>28+1</f>
        <v>29</v>
      </c>
      <c r="F41" s="130">
        <v>102.0</v>
      </c>
      <c r="G41" s="130">
        <v>259.0</v>
      </c>
      <c r="H41" s="131">
        <v>1.0</v>
      </c>
      <c r="I41" s="131">
        <v>1143.0</v>
      </c>
      <c r="J41" s="131">
        <v>738.0</v>
      </c>
      <c r="K41" s="131">
        <v>631.0</v>
      </c>
      <c r="L41" s="131">
        <v>837.0</v>
      </c>
      <c r="M41" s="130">
        <v>0.0</v>
      </c>
      <c r="N41" s="130">
        <v>0.0</v>
      </c>
      <c r="O41" s="130">
        <v>0.0</v>
      </c>
      <c r="P41" s="130">
        <v>0.0</v>
      </c>
      <c r="Q41" s="130">
        <v>0.0</v>
      </c>
      <c r="R41" s="130">
        <v>0.0</v>
      </c>
      <c r="S41" s="131">
        <v>990.0</v>
      </c>
      <c r="T41" s="131">
        <v>150.0</v>
      </c>
      <c r="U41" s="131">
        <v>346.0</v>
      </c>
      <c r="V41" s="131">
        <v>0.0</v>
      </c>
      <c r="W41" s="131">
        <v>546.0</v>
      </c>
      <c r="X41" s="132">
        <f t="shared" si="1"/>
        <v>5772</v>
      </c>
      <c r="Y41" s="134">
        <f t="shared" si="4"/>
        <v>391</v>
      </c>
      <c r="Z41" s="172">
        <f t="shared" si="5"/>
        <v>0.06774081774</v>
      </c>
      <c r="AA41" s="93">
        <f t="shared" si="6"/>
        <v>3998</v>
      </c>
      <c r="AB41" s="172">
        <f t="shared" si="7"/>
        <v>0.6926541927</v>
      </c>
      <c r="AC41" s="93">
        <f t="shared" si="2"/>
        <v>1383</v>
      </c>
      <c r="AD41" s="172">
        <f t="shared" si="8"/>
        <v>0.2396049896</v>
      </c>
      <c r="AE41" s="134">
        <f t="shared" si="9"/>
        <v>5772</v>
      </c>
      <c r="AF41" s="93"/>
    </row>
    <row r="42">
      <c r="A42" s="38"/>
      <c r="B42" s="4">
        <v>6175.0</v>
      </c>
      <c r="C42" s="5" t="s">
        <v>57</v>
      </c>
      <c r="D42" s="130">
        <v>0.0</v>
      </c>
      <c r="E42" s="130">
        <f>28+7</f>
        <v>35</v>
      </c>
      <c r="F42" s="130">
        <f>150+17</f>
        <v>167</v>
      </c>
      <c r="G42" s="130">
        <f>515+9</f>
        <v>524</v>
      </c>
      <c r="H42" s="131">
        <v>0.0</v>
      </c>
      <c r="I42" s="187">
        <v>2906.0</v>
      </c>
      <c r="J42" s="131">
        <v>1096.0</v>
      </c>
      <c r="K42" s="131">
        <v>964.0</v>
      </c>
      <c r="L42" s="131">
        <v>1954.0</v>
      </c>
      <c r="M42" s="130">
        <v>0.0</v>
      </c>
      <c r="N42" s="130">
        <v>0.0</v>
      </c>
      <c r="O42" s="130">
        <v>0.0</v>
      </c>
      <c r="P42" s="130">
        <v>0.0</v>
      </c>
      <c r="Q42" s="130">
        <v>0.0</v>
      </c>
      <c r="R42" s="130">
        <v>0.0</v>
      </c>
      <c r="S42" s="131">
        <v>3831.0</v>
      </c>
      <c r="T42" s="131">
        <v>147.0</v>
      </c>
      <c r="U42" s="131">
        <v>168.0</v>
      </c>
      <c r="V42" s="131">
        <v>0.0</v>
      </c>
      <c r="W42" s="131">
        <v>7455.0</v>
      </c>
      <c r="X42" s="132">
        <f t="shared" si="1"/>
        <v>19247</v>
      </c>
      <c r="Y42" s="134">
        <f t="shared" si="4"/>
        <v>726</v>
      </c>
      <c r="Z42" s="172">
        <f t="shared" si="5"/>
        <v>0.03772016418</v>
      </c>
      <c r="AA42" s="93">
        <f t="shared" si="6"/>
        <v>9112</v>
      </c>
      <c r="AB42" s="172">
        <f t="shared" si="7"/>
        <v>0.4734244298</v>
      </c>
      <c r="AC42" s="93">
        <f t="shared" si="2"/>
        <v>9409</v>
      </c>
      <c r="AD42" s="172">
        <f t="shared" si="8"/>
        <v>0.488855406</v>
      </c>
      <c r="AE42" s="134">
        <f t="shared" si="9"/>
        <v>19247</v>
      </c>
      <c r="AF42" s="93"/>
    </row>
    <row r="43">
      <c r="A43" s="38"/>
      <c r="B43" s="4">
        <v>6176.0</v>
      </c>
      <c r="C43" s="5" t="s">
        <v>58</v>
      </c>
      <c r="D43" s="130">
        <v>0.0</v>
      </c>
      <c r="E43" s="130">
        <v>29.0</v>
      </c>
      <c r="F43" s="130">
        <f>154+2</f>
        <v>156</v>
      </c>
      <c r="G43" s="130">
        <f>560+5</f>
        <v>565</v>
      </c>
      <c r="H43" s="131">
        <v>0.0</v>
      </c>
      <c r="I43" s="131">
        <v>1876.0</v>
      </c>
      <c r="J43" s="131">
        <v>668.0</v>
      </c>
      <c r="K43" s="131">
        <v>690.0</v>
      </c>
      <c r="L43" s="131">
        <v>1329.0</v>
      </c>
      <c r="M43" s="130">
        <v>0.0</v>
      </c>
      <c r="N43" s="130">
        <v>0.0</v>
      </c>
      <c r="O43" s="130">
        <v>0.0</v>
      </c>
      <c r="P43" s="130">
        <v>0.0</v>
      </c>
      <c r="Q43" s="130">
        <v>0.0</v>
      </c>
      <c r="R43" s="130">
        <v>0.0</v>
      </c>
      <c r="S43" s="131">
        <v>1477.0</v>
      </c>
      <c r="T43" s="131">
        <v>31.0</v>
      </c>
      <c r="U43" s="131">
        <v>63.0</v>
      </c>
      <c r="V43" s="131">
        <v>0.0</v>
      </c>
      <c r="W43" s="131">
        <v>358.0</v>
      </c>
      <c r="X43" s="132">
        <f t="shared" si="1"/>
        <v>7242</v>
      </c>
      <c r="Y43" s="134">
        <f t="shared" si="4"/>
        <v>750</v>
      </c>
      <c r="Z43" s="172">
        <f t="shared" si="5"/>
        <v>0.1035625518</v>
      </c>
      <c r="AA43" s="93">
        <f t="shared" si="6"/>
        <v>4805</v>
      </c>
      <c r="AB43" s="172">
        <f t="shared" si="7"/>
        <v>0.6634907484</v>
      </c>
      <c r="AC43" s="93">
        <f t="shared" si="2"/>
        <v>1687</v>
      </c>
      <c r="AD43" s="172">
        <f t="shared" si="8"/>
        <v>0.2329466998</v>
      </c>
      <c r="AE43" s="134">
        <f t="shared" si="9"/>
        <v>7242</v>
      </c>
      <c r="AF43" s="93"/>
    </row>
    <row r="44">
      <c r="A44" s="38"/>
      <c r="B44" s="4">
        <v>6177.0</v>
      </c>
      <c r="C44" s="5" t="s">
        <v>59</v>
      </c>
      <c r="D44" s="130">
        <v>0.0</v>
      </c>
      <c r="E44" s="130">
        <v>25.0</v>
      </c>
      <c r="F44" s="130">
        <v>107.0</v>
      </c>
      <c r="G44" s="130">
        <v>222.0</v>
      </c>
      <c r="H44" s="131">
        <v>0.0</v>
      </c>
      <c r="I44" s="131">
        <v>1091.0</v>
      </c>
      <c r="J44" s="131">
        <v>522.0</v>
      </c>
      <c r="K44" s="131">
        <v>429.0</v>
      </c>
      <c r="L44" s="131">
        <v>1019.0</v>
      </c>
      <c r="M44" s="130">
        <v>0.0</v>
      </c>
      <c r="N44" s="130">
        <v>0.0</v>
      </c>
      <c r="O44" s="130">
        <v>0.0</v>
      </c>
      <c r="P44" s="130">
        <v>0.0</v>
      </c>
      <c r="Q44" s="130">
        <v>0.0</v>
      </c>
      <c r="R44" s="130">
        <v>0.0</v>
      </c>
      <c r="S44" s="131">
        <v>1293.0</v>
      </c>
      <c r="T44" s="131">
        <v>58.0</v>
      </c>
      <c r="U44" s="131">
        <v>84.0</v>
      </c>
      <c r="V44" s="131">
        <v>0.0</v>
      </c>
      <c r="W44" s="131">
        <v>1461.0</v>
      </c>
      <c r="X44" s="132">
        <f t="shared" si="1"/>
        <v>6311</v>
      </c>
      <c r="Y44" s="134">
        <f t="shared" si="4"/>
        <v>354</v>
      </c>
      <c r="Z44" s="172">
        <f t="shared" si="5"/>
        <v>0.05609253684</v>
      </c>
      <c r="AA44" s="93">
        <f t="shared" si="6"/>
        <v>3477</v>
      </c>
      <c r="AB44" s="172">
        <f t="shared" si="7"/>
        <v>0.5509427983</v>
      </c>
      <c r="AC44" s="93">
        <f t="shared" si="2"/>
        <v>2480</v>
      </c>
      <c r="AD44" s="172">
        <f t="shared" si="8"/>
        <v>0.3929646649</v>
      </c>
      <c r="AE44" s="134">
        <f t="shared" si="9"/>
        <v>6311</v>
      </c>
      <c r="AF44" s="93"/>
    </row>
    <row r="45">
      <c r="A45" s="38"/>
      <c r="B45" s="4">
        <v>6178.0</v>
      </c>
      <c r="C45" s="5" t="s">
        <v>60</v>
      </c>
      <c r="D45" s="130">
        <v>0.0</v>
      </c>
      <c r="E45" s="130">
        <v>29.0</v>
      </c>
      <c r="F45" s="130">
        <f>136+1</f>
        <v>137</v>
      </c>
      <c r="G45" s="130">
        <f>449+4</f>
        <v>453</v>
      </c>
      <c r="H45" s="131">
        <v>1.0</v>
      </c>
      <c r="I45" s="131">
        <v>1682.0</v>
      </c>
      <c r="J45" s="131">
        <v>1021.0</v>
      </c>
      <c r="K45" s="131">
        <v>568.0</v>
      </c>
      <c r="L45" s="131">
        <v>1110.0</v>
      </c>
      <c r="M45" s="130">
        <v>0.0</v>
      </c>
      <c r="N45" s="130">
        <v>0.0</v>
      </c>
      <c r="O45" s="130">
        <v>0.0</v>
      </c>
      <c r="P45" s="130">
        <v>0.0</v>
      </c>
      <c r="Q45" s="130">
        <v>0.0</v>
      </c>
      <c r="R45" s="130">
        <v>0.0</v>
      </c>
      <c r="S45" s="131">
        <v>1204.0</v>
      </c>
      <c r="T45" s="131">
        <v>66.0</v>
      </c>
      <c r="U45" s="131">
        <v>58.0</v>
      </c>
      <c r="V45" s="131">
        <v>0.0</v>
      </c>
      <c r="W45" s="131">
        <v>137.0</v>
      </c>
      <c r="X45" s="132">
        <f t="shared" si="1"/>
        <v>6466</v>
      </c>
      <c r="Y45" s="134">
        <f t="shared" si="4"/>
        <v>620</v>
      </c>
      <c r="Z45" s="172">
        <f t="shared" si="5"/>
        <v>0.09588617383</v>
      </c>
      <c r="AA45" s="93">
        <f t="shared" si="6"/>
        <v>4599</v>
      </c>
      <c r="AB45" s="172">
        <f t="shared" si="7"/>
        <v>0.7112588927</v>
      </c>
      <c r="AC45" s="93">
        <f t="shared" si="2"/>
        <v>1247</v>
      </c>
      <c r="AD45" s="172">
        <f t="shared" si="8"/>
        <v>0.1928549335</v>
      </c>
      <c r="AE45" s="134">
        <f t="shared" si="9"/>
        <v>6466</v>
      </c>
      <c r="AF45" s="93"/>
    </row>
    <row r="46">
      <c r="A46" s="38"/>
      <c r="B46" s="4">
        <v>6179.0</v>
      </c>
      <c r="C46" s="5" t="s">
        <v>61</v>
      </c>
      <c r="D46" s="130">
        <v>0.0</v>
      </c>
      <c r="E46" s="130">
        <v>26.0</v>
      </c>
      <c r="F46" s="130">
        <f>101+3</f>
        <v>104</v>
      </c>
      <c r="G46" s="130">
        <f>159+12</f>
        <v>171</v>
      </c>
      <c r="H46" s="131">
        <v>0.0</v>
      </c>
      <c r="I46" s="131">
        <v>755.0</v>
      </c>
      <c r="J46" s="131">
        <v>458.0</v>
      </c>
      <c r="K46" s="131">
        <v>502.0</v>
      </c>
      <c r="L46" s="131">
        <v>595.0</v>
      </c>
      <c r="M46" s="130">
        <v>0.0</v>
      </c>
      <c r="N46" s="130">
        <v>0.0</v>
      </c>
      <c r="O46" s="130">
        <v>0.0</v>
      </c>
      <c r="P46" s="130">
        <v>0.0</v>
      </c>
      <c r="Q46" s="130">
        <v>0.0</v>
      </c>
      <c r="R46" s="130">
        <v>0.0</v>
      </c>
      <c r="S46" s="131">
        <v>469.0</v>
      </c>
      <c r="T46" s="131">
        <v>118.0</v>
      </c>
      <c r="U46" s="131">
        <v>88.0</v>
      </c>
      <c r="V46" s="131">
        <v>0.0</v>
      </c>
      <c r="W46" s="131">
        <v>1575.0</v>
      </c>
      <c r="X46" s="132">
        <f t="shared" si="1"/>
        <v>4861</v>
      </c>
      <c r="Y46" s="134">
        <f t="shared" si="4"/>
        <v>301</v>
      </c>
      <c r="Z46" s="172">
        <f t="shared" si="5"/>
        <v>0.06192141535</v>
      </c>
      <c r="AA46" s="93">
        <f t="shared" si="6"/>
        <v>2390</v>
      </c>
      <c r="AB46" s="172">
        <f t="shared" si="7"/>
        <v>0.491668381</v>
      </c>
      <c r="AC46" s="93">
        <f t="shared" si="2"/>
        <v>2170</v>
      </c>
      <c r="AD46" s="172">
        <f t="shared" si="8"/>
        <v>0.4464102037</v>
      </c>
      <c r="AE46" s="134">
        <f t="shared" si="9"/>
        <v>4861</v>
      </c>
      <c r="AF46" s="93"/>
    </row>
    <row r="47">
      <c r="A47" s="38"/>
      <c r="B47" s="24" t="s">
        <v>62</v>
      </c>
      <c r="C47" s="25"/>
      <c r="D47" s="26">
        <f t="shared" ref="D47:W47" si="10">SUM(D19:D46)</f>
        <v>1</v>
      </c>
      <c r="E47" s="26">
        <f t="shared" si="10"/>
        <v>907</v>
      </c>
      <c r="F47" s="26">
        <f t="shared" si="10"/>
        <v>5068</v>
      </c>
      <c r="G47" s="26">
        <f t="shared" si="10"/>
        <v>12189</v>
      </c>
      <c r="H47" s="203">
        <f t="shared" si="10"/>
        <v>9</v>
      </c>
      <c r="I47" s="203">
        <f t="shared" si="10"/>
        <v>98054</v>
      </c>
      <c r="J47" s="203">
        <f t="shared" si="10"/>
        <v>29908</v>
      </c>
      <c r="K47" s="203">
        <f t="shared" si="10"/>
        <v>24183</v>
      </c>
      <c r="L47" s="203">
        <f t="shared" si="10"/>
        <v>40592</v>
      </c>
      <c r="M47" s="203">
        <f t="shared" si="10"/>
        <v>0</v>
      </c>
      <c r="N47" s="203">
        <f t="shared" si="10"/>
        <v>0</v>
      </c>
      <c r="O47" s="203">
        <f t="shared" si="10"/>
        <v>0</v>
      </c>
      <c r="P47" s="203">
        <f t="shared" si="10"/>
        <v>0</v>
      </c>
      <c r="Q47" s="203">
        <f t="shared" si="10"/>
        <v>0</v>
      </c>
      <c r="R47" s="26">
        <f t="shared" si="10"/>
        <v>0</v>
      </c>
      <c r="S47" s="26">
        <f t="shared" si="10"/>
        <v>117663</v>
      </c>
      <c r="T47" s="26">
        <f t="shared" si="10"/>
        <v>9802</v>
      </c>
      <c r="U47" s="26">
        <f t="shared" si="10"/>
        <v>7680</v>
      </c>
      <c r="V47" s="26">
        <f t="shared" si="10"/>
        <v>1</v>
      </c>
      <c r="W47" s="26">
        <f t="shared" si="10"/>
        <v>32687</v>
      </c>
      <c r="X47" s="132">
        <f t="shared" si="1"/>
        <v>378744</v>
      </c>
      <c r="Y47" s="204">
        <f t="shared" si="4"/>
        <v>18174</v>
      </c>
      <c r="Z47" s="205">
        <f t="shared" si="5"/>
        <v>0.04798491857</v>
      </c>
      <c r="AA47" s="204">
        <f t="shared" si="6"/>
        <v>287291</v>
      </c>
      <c r="AB47" s="205">
        <f t="shared" si="7"/>
        <v>0.7585361088</v>
      </c>
      <c r="AC47" s="204">
        <f t="shared" si="2"/>
        <v>73279</v>
      </c>
      <c r="AD47" s="205">
        <f t="shared" si="8"/>
        <v>0.1934789726</v>
      </c>
      <c r="AE47" s="204">
        <f t="shared" si="9"/>
        <v>378744</v>
      </c>
      <c r="AF47" s="134"/>
    </row>
    <row r="48">
      <c r="A48" s="38"/>
      <c r="B48" s="17">
        <v>6200.0</v>
      </c>
      <c r="C48" s="18" t="s">
        <v>63</v>
      </c>
      <c r="D48" s="136">
        <v>1.0</v>
      </c>
      <c r="E48" s="137">
        <f>24+1</f>
        <v>25</v>
      </c>
      <c r="F48" s="136">
        <v>174.0</v>
      </c>
      <c r="G48" s="136">
        <f>247+1</f>
        <v>248</v>
      </c>
      <c r="H48" s="206">
        <v>0.0</v>
      </c>
      <c r="I48" s="138">
        <v>4530.0</v>
      </c>
      <c r="J48" s="138">
        <v>194.0</v>
      </c>
      <c r="K48" s="138">
        <v>841.0</v>
      </c>
      <c r="L48" s="138">
        <v>2267.0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8">
        <v>6402.0</v>
      </c>
      <c r="T48" s="138">
        <v>229.0</v>
      </c>
      <c r="U48" s="138">
        <v>152.0</v>
      </c>
      <c r="V48" s="138">
        <v>0.0</v>
      </c>
      <c r="W48" s="138">
        <v>6592.0</v>
      </c>
      <c r="X48" s="139">
        <f t="shared" si="1"/>
        <v>21655</v>
      </c>
      <c r="Y48" s="140">
        <f t="shared" si="4"/>
        <v>448</v>
      </c>
      <c r="Z48" s="141">
        <f t="shared" si="5"/>
        <v>0.0206880628</v>
      </c>
      <c r="AA48" s="142">
        <f t="shared" si="6"/>
        <v>12348</v>
      </c>
      <c r="AB48" s="141">
        <f t="shared" si="7"/>
        <v>0.570214731</v>
      </c>
      <c r="AC48" s="142">
        <f t="shared" si="2"/>
        <v>8859</v>
      </c>
      <c r="AD48" s="141">
        <f t="shared" si="8"/>
        <v>0.4090972062</v>
      </c>
      <c r="AE48" s="140">
        <f t="shared" si="9"/>
        <v>21655</v>
      </c>
      <c r="AF48" s="93"/>
    </row>
    <row r="49">
      <c r="A49" s="38"/>
      <c r="B49" s="17">
        <v>6201.0</v>
      </c>
      <c r="C49" s="18" t="s">
        <v>64</v>
      </c>
      <c r="D49" s="136">
        <v>0.0</v>
      </c>
      <c r="E49" s="136">
        <v>29.0</v>
      </c>
      <c r="F49" s="136">
        <v>180.0</v>
      </c>
      <c r="G49" s="136">
        <f>345+1</f>
        <v>346</v>
      </c>
      <c r="H49" s="138">
        <v>0.0</v>
      </c>
      <c r="I49" s="138">
        <v>3669.0</v>
      </c>
      <c r="J49" s="138">
        <v>1184.0</v>
      </c>
      <c r="K49" s="138">
        <v>809.0</v>
      </c>
      <c r="L49" s="138">
        <v>1321.0</v>
      </c>
      <c r="M49" s="136">
        <v>0.0</v>
      </c>
      <c r="N49" s="136">
        <v>0.0</v>
      </c>
      <c r="O49" s="136">
        <v>0.0</v>
      </c>
      <c r="P49" s="136">
        <v>0.0</v>
      </c>
      <c r="Q49" s="136">
        <v>0.0</v>
      </c>
      <c r="R49" s="136">
        <v>0.0</v>
      </c>
      <c r="S49" s="138">
        <v>2067.0</v>
      </c>
      <c r="T49" s="138">
        <v>290.0</v>
      </c>
      <c r="U49" s="138">
        <v>137.0</v>
      </c>
      <c r="V49" s="138">
        <v>0.0</v>
      </c>
      <c r="W49" s="138">
        <v>139.0</v>
      </c>
      <c r="X49" s="139">
        <f t="shared" si="1"/>
        <v>10171</v>
      </c>
      <c r="Y49" s="140">
        <f t="shared" si="4"/>
        <v>555</v>
      </c>
      <c r="Z49" s="141">
        <f t="shared" si="5"/>
        <v>0.05456690591</v>
      </c>
      <c r="AA49" s="142">
        <f t="shared" si="6"/>
        <v>8156</v>
      </c>
      <c r="AB49" s="141">
        <f t="shared" si="7"/>
        <v>0.80188772</v>
      </c>
      <c r="AC49" s="142">
        <f t="shared" si="2"/>
        <v>1460</v>
      </c>
      <c r="AD49" s="141">
        <f t="shared" si="8"/>
        <v>0.1435453741</v>
      </c>
      <c r="AE49" s="140">
        <f t="shared" si="9"/>
        <v>10171</v>
      </c>
      <c r="AF49" s="142"/>
    </row>
    <row r="50">
      <c r="A50" s="38"/>
      <c r="B50" s="17">
        <v>6202.0</v>
      </c>
      <c r="C50" s="18" t="s">
        <v>65</v>
      </c>
      <c r="D50" s="136">
        <v>0.0</v>
      </c>
      <c r="E50" s="136">
        <v>33.0</v>
      </c>
      <c r="F50" s="136">
        <v>168.0</v>
      </c>
      <c r="G50" s="136">
        <f>421+3</f>
        <v>424</v>
      </c>
      <c r="H50" s="138">
        <v>0.0</v>
      </c>
      <c r="I50" s="138">
        <v>3990.0</v>
      </c>
      <c r="J50" s="138">
        <v>1069.0</v>
      </c>
      <c r="K50" s="138">
        <v>555.0</v>
      </c>
      <c r="L50" s="138">
        <v>1156.0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8">
        <v>4198.0</v>
      </c>
      <c r="T50" s="138">
        <v>130.0</v>
      </c>
      <c r="U50" s="138">
        <v>103.0</v>
      </c>
      <c r="V50" s="138">
        <v>0.0</v>
      </c>
      <c r="W50" s="138">
        <v>809.0</v>
      </c>
      <c r="X50" s="139">
        <f t="shared" si="1"/>
        <v>12635</v>
      </c>
      <c r="Y50" s="140">
        <f t="shared" si="4"/>
        <v>625</v>
      </c>
      <c r="Z50" s="141">
        <f t="shared" si="5"/>
        <v>0.04946576969</v>
      </c>
      <c r="AA50" s="142">
        <f t="shared" si="6"/>
        <v>10045</v>
      </c>
      <c r="AB50" s="141">
        <f t="shared" si="7"/>
        <v>0.7950138504</v>
      </c>
      <c r="AC50" s="142">
        <f t="shared" si="2"/>
        <v>1965</v>
      </c>
      <c r="AD50" s="141">
        <f t="shared" si="8"/>
        <v>0.1555203799</v>
      </c>
      <c r="AE50" s="140">
        <f t="shared" si="9"/>
        <v>12635</v>
      </c>
      <c r="AF50" s="142"/>
    </row>
    <row r="51">
      <c r="A51" s="38"/>
      <c r="B51" s="17">
        <v>6203.0</v>
      </c>
      <c r="C51" s="18" t="s">
        <v>66</v>
      </c>
      <c r="D51" s="136">
        <v>0.0</v>
      </c>
      <c r="E51" s="136">
        <f>28+1</f>
        <v>29</v>
      </c>
      <c r="F51" s="136">
        <f>167+6</f>
        <v>173</v>
      </c>
      <c r="G51" s="136">
        <f>251+8</f>
        <v>259</v>
      </c>
      <c r="H51" s="138">
        <v>6.0</v>
      </c>
      <c r="I51" s="138">
        <f>4099+60</f>
        <v>4159</v>
      </c>
      <c r="J51" s="206">
        <v>990.0</v>
      </c>
      <c r="K51" s="206">
        <v>687.0</v>
      </c>
      <c r="L51" s="138">
        <v>858.0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8">
        <v>3697.0</v>
      </c>
      <c r="T51" s="138">
        <v>365.0</v>
      </c>
      <c r="U51" s="138">
        <v>160.0</v>
      </c>
      <c r="V51" s="138">
        <v>0.0</v>
      </c>
      <c r="W51" s="138">
        <v>1001.0</v>
      </c>
      <c r="X51" s="139">
        <f t="shared" si="1"/>
        <v>12384</v>
      </c>
      <c r="Y51" s="140">
        <f t="shared" si="4"/>
        <v>467</v>
      </c>
      <c r="Z51" s="141">
        <f t="shared" si="5"/>
        <v>0.03770994832</v>
      </c>
      <c r="AA51" s="142">
        <f t="shared" si="6"/>
        <v>10058</v>
      </c>
      <c r="AB51" s="141">
        <f t="shared" si="7"/>
        <v>0.8121770026</v>
      </c>
      <c r="AC51" s="142">
        <f t="shared" si="2"/>
        <v>1859</v>
      </c>
      <c r="AD51" s="141">
        <f t="shared" si="8"/>
        <v>0.1501130491</v>
      </c>
      <c r="AE51" s="140">
        <f t="shared" si="9"/>
        <v>12384</v>
      </c>
      <c r="AF51" s="142"/>
    </row>
    <row r="52">
      <c r="A52" s="38"/>
      <c r="B52" s="4">
        <v>6204.0</v>
      </c>
      <c r="C52" s="5" t="s">
        <v>67</v>
      </c>
      <c r="D52" s="130">
        <v>0.0</v>
      </c>
      <c r="E52" s="130">
        <v>40.0</v>
      </c>
      <c r="F52" s="130">
        <v>217.0</v>
      </c>
      <c r="G52" s="130">
        <f>623+1</f>
        <v>624</v>
      </c>
      <c r="H52" s="131">
        <v>2.0</v>
      </c>
      <c r="I52" s="131">
        <f>3936</f>
        <v>3936</v>
      </c>
      <c r="J52" s="187">
        <v>1762.0</v>
      </c>
      <c r="K52" s="131">
        <v>1208.0</v>
      </c>
      <c r="L52" s="131">
        <v>1556.0</v>
      </c>
      <c r="M52" s="130">
        <v>0.0</v>
      </c>
      <c r="N52" s="130">
        <v>0.0</v>
      </c>
      <c r="O52" s="130">
        <v>0.0</v>
      </c>
      <c r="P52" s="130">
        <v>0.0</v>
      </c>
      <c r="Q52" s="130">
        <v>0.0</v>
      </c>
      <c r="R52" s="130">
        <v>0.0</v>
      </c>
      <c r="S52" s="131">
        <v>4930.0</v>
      </c>
      <c r="T52" s="131">
        <v>299.0</v>
      </c>
      <c r="U52" s="131">
        <v>280.0</v>
      </c>
      <c r="V52" s="131">
        <v>0.0</v>
      </c>
      <c r="W52" s="131">
        <v>1006.0</v>
      </c>
      <c r="X52" s="132">
        <f t="shared" si="1"/>
        <v>15860</v>
      </c>
      <c r="Y52" s="134">
        <f t="shared" si="4"/>
        <v>883</v>
      </c>
      <c r="Z52" s="172">
        <f t="shared" si="5"/>
        <v>0.05567465322</v>
      </c>
      <c r="AA52" s="93">
        <f t="shared" si="6"/>
        <v>12415</v>
      </c>
      <c r="AB52" s="172">
        <f t="shared" si="7"/>
        <v>0.7827868852</v>
      </c>
      <c r="AC52" s="93">
        <f t="shared" si="2"/>
        <v>2562</v>
      </c>
      <c r="AD52" s="172">
        <f t="shared" si="8"/>
        <v>0.1615384615</v>
      </c>
      <c r="AE52" s="134">
        <f t="shared" si="9"/>
        <v>15860</v>
      </c>
      <c r="AF52" s="93"/>
    </row>
    <row r="53">
      <c r="A53" s="38"/>
      <c r="B53" s="4">
        <v>6271.0</v>
      </c>
      <c r="C53" s="5" t="s">
        <v>68</v>
      </c>
      <c r="D53" s="130">
        <v>0.0</v>
      </c>
      <c r="E53" s="130">
        <v>33.0</v>
      </c>
      <c r="F53" s="130">
        <f>158+2</f>
        <v>160</v>
      </c>
      <c r="G53" s="130">
        <f>708+5</f>
        <v>713</v>
      </c>
      <c r="H53" s="131">
        <v>1.0</v>
      </c>
      <c r="I53" s="131">
        <f>2475+2</f>
        <v>2477</v>
      </c>
      <c r="J53" s="131">
        <v>715.0</v>
      </c>
      <c r="K53" s="131">
        <v>750.0</v>
      </c>
      <c r="L53" s="131">
        <v>1286.0</v>
      </c>
      <c r="M53" s="130">
        <v>0.0</v>
      </c>
      <c r="N53" s="130">
        <v>0.0</v>
      </c>
      <c r="O53" s="130">
        <v>0.0</v>
      </c>
      <c r="P53" s="130">
        <v>0.0</v>
      </c>
      <c r="Q53" s="130">
        <v>0.0</v>
      </c>
      <c r="R53" s="130">
        <v>0.0</v>
      </c>
      <c r="S53" s="131">
        <v>4768.0</v>
      </c>
      <c r="T53" s="131">
        <v>870.0</v>
      </c>
      <c r="U53" s="131">
        <v>349.0</v>
      </c>
      <c r="V53" s="131">
        <v>0.0</v>
      </c>
      <c r="W53" s="131">
        <v>1608.0</v>
      </c>
      <c r="X53" s="132">
        <f t="shared" si="1"/>
        <v>13730</v>
      </c>
      <c r="Y53" s="134">
        <f t="shared" si="4"/>
        <v>907</v>
      </c>
      <c r="Z53" s="172">
        <f t="shared" si="5"/>
        <v>0.06605972323</v>
      </c>
      <c r="AA53" s="93">
        <f t="shared" si="6"/>
        <v>9929</v>
      </c>
      <c r="AB53" s="172">
        <f t="shared" si="7"/>
        <v>0.7231609614</v>
      </c>
      <c r="AC53" s="93">
        <f t="shared" si="2"/>
        <v>2894</v>
      </c>
      <c r="AD53" s="172">
        <f t="shared" si="8"/>
        <v>0.2107793154</v>
      </c>
      <c r="AE53" s="134">
        <f t="shared" si="9"/>
        <v>13730</v>
      </c>
      <c r="AF53" s="93"/>
    </row>
    <row r="54">
      <c r="A54" s="38"/>
      <c r="B54" s="4">
        <v>6272.0</v>
      </c>
      <c r="C54" s="5" t="s">
        <v>69</v>
      </c>
      <c r="D54" s="130">
        <v>0.0</v>
      </c>
      <c r="E54" s="130">
        <v>30.0</v>
      </c>
      <c r="F54" s="130">
        <v>123.0</v>
      </c>
      <c r="G54" s="130">
        <f>387+4</f>
        <v>391</v>
      </c>
      <c r="H54" s="131">
        <v>0.0</v>
      </c>
      <c r="I54" s="131">
        <v>1465.0</v>
      </c>
      <c r="J54" s="131">
        <v>659.0</v>
      </c>
      <c r="K54" s="131">
        <v>598.0</v>
      </c>
      <c r="L54" s="131">
        <v>978.0</v>
      </c>
      <c r="M54" s="130">
        <v>0.0</v>
      </c>
      <c r="N54" s="130">
        <v>0.0</v>
      </c>
      <c r="O54" s="130">
        <v>0.0</v>
      </c>
      <c r="P54" s="130">
        <v>0.0</v>
      </c>
      <c r="Q54" s="130">
        <v>0.0</v>
      </c>
      <c r="R54" s="130">
        <v>0.0</v>
      </c>
      <c r="S54" s="131">
        <v>958.0</v>
      </c>
      <c r="T54" s="131">
        <v>69.0</v>
      </c>
      <c r="U54" s="131">
        <v>40.0</v>
      </c>
      <c r="V54" s="131">
        <v>0.0</v>
      </c>
      <c r="W54" s="131">
        <v>551.0</v>
      </c>
      <c r="X54" s="132">
        <f t="shared" si="1"/>
        <v>5862</v>
      </c>
      <c r="Y54" s="134">
        <f t="shared" si="4"/>
        <v>544</v>
      </c>
      <c r="Z54" s="172">
        <f t="shared" si="5"/>
        <v>0.09280109178</v>
      </c>
      <c r="AA54" s="93">
        <f t="shared" si="6"/>
        <v>3789</v>
      </c>
      <c r="AB54" s="172">
        <f t="shared" si="7"/>
        <v>0.6463664278</v>
      </c>
      <c r="AC54" s="93">
        <f t="shared" si="2"/>
        <v>1529</v>
      </c>
      <c r="AD54" s="172">
        <f t="shared" si="8"/>
        <v>0.2608324804</v>
      </c>
      <c r="AE54" s="134">
        <f t="shared" si="9"/>
        <v>5862</v>
      </c>
      <c r="AF54" s="93"/>
    </row>
    <row r="55">
      <c r="A55" s="38"/>
      <c r="B55" s="4">
        <v>6273.0</v>
      </c>
      <c r="C55" s="5" t="s">
        <v>70</v>
      </c>
      <c r="D55" s="130">
        <v>0.0</v>
      </c>
      <c r="E55" s="130">
        <v>28.0</v>
      </c>
      <c r="F55" s="130">
        <v>112.0</v>
      </c>
      <c r="G55" s="130">
        <v>462.0</v>
      </c>
      <c r="H55" s="131">
        <v>0.0</v>
      </c>
      <c r="I55" s="131">
        <f>1697+1</f>
        <v>1698</v>
      </c>
      <c r="J55" s="131">
        <v>355.0</v>
      </c>
      <c r="K55" s="131">
        <v>799.0</v>
      </c>
      <c r="L55" s="131">
        <v>437.0</v>
      </c>
      <c r="M55" s="130">
        <v>0.0</v>
      </c>
      <c r="N55" s="130">
        <v>0.0</v>
      </c>
      <c r="O55" s="130">
        <v>0.0</v>
      </c>
      <c r="P55" s="130">
        <v>0.0</v>
      </c>
      <c r="Q55" s="130">
        <v>0.0</v>
      </c>
      <c r="R55" s="130">
        <v>0.0</v>
      </c>
      <c r="S55" s="131">
        <v>1642.0</v>
      </c>
      <c r="T55" s="131">
        <v>13.0</v>
      </c>
      <c r="U55" s="131">
        <v>77.0</v>
      </c>
      <c r="V55" s="131">
        <v>0.0</v>
      </c>
      <c r="W55" s="131">
        <v>224.0</v>
      </c>
      <c r="X55" s="132">
        <f t="shared" si="1"/>
        <v>5847</v>
      </c>
      <c r="Y55" s="134">
        <f t="shared" si="4"/>
        <v>602</v>
      </c>
      <c r="Z55" s="172">
        <f t="shared" si="5"/>
        <v>0.1029587823</v>
      </c>
      <c r="AA55" s="93">
        <f t="shared" si="6"/>
        <v>4584</v>
      </c>
      <c r="AB55" s="172">
        <f t="shared" si="7"/>
        <v>0.7839917907</v>
      </c>
      <c r="AC55" s="93">
        <f t="shared" si="2"/>
        <v>661</v>
      </c>
      <c r="AD55" s="172">
        <f t="shared" si="8"/>
        <v>0.1130494271</v>
      </c>
      <c r="AE55" s="134">
        <f t="shared" si="9"/>
        <v>5847</v>
      </c>
      <c r="AF55" s="93"/>
    </row>
    <row r="56">
      <c r="A56" s="3"/>
      <c r="B56" s="4">
        <v>6274.0</v>
      </c>
      <c r="C56" s="5" t="s">
        <v>71</v>
      </c>
      <c r="D56" s="130">
        <v>0.0</v>
      </c>
      <c r="E56" s="130">
        <v>31.0</v>
      </c>
      <c r="F56" s="130">
        <v>160.0</v>
      </c>
      <c r="G56" s="130">
        <v>496.0</v>
      </c>
      <c r="H56" s="131">
        <v>0.0</v>
      </c>
      <c r="I56" s="131">
        <v>1697.0</v>
      </c>
      <c r="J56" s="131">
        <v>522.0</v>
      </c>
      <c r="K56" s="131">
        <v>495.0</v>
      </c>
      <c r="L56" s="131">
        <v>708.0</v>
      </c>
      <c r="M56" s="130">
        <v>0.0</v>
      </c>
      <c r="N56" s="130">
        <v>0.0</v>
      </c>
      <c r="O56" s="130">
        <v>0.0</v>
      </c>
      <c r="P56" s="130">
        <v>0.0</v>
      </c>
      <c r="Q56" s="130">
        <v>0.0</v>
      </c>
      <c r="R56" s="130">
        <v>0.0</v>
      </c>
      <c r="S56" s="131">
        <v>2697.0</v>
      </c>
      <c r="T56" s="131">
        <v>388.0</v>
      </c>
      <c r="U56" s="131">
        <v>209.0</v>
      </c>
      <c r="V56" s="131">
        <v>0.0</v>
      </c>
      <c r="W56" s="131">
        <v>8003.0</v>
      </c>
      <c r="X56" s="132">
        <f t="shared" si="1"/>
        <v>15406</v>
      </c>
      <c r="Y56" s="134">
        <f t="shared" si="4"/>
        <v>687</v>
      </c>
      <c r="Z56" s="172">
        <f t="shared" si="5"/>
        <v>0.04459301571</v>
      </c>
      <c r="AA56" s="93">
        <f t="shared" si="6"/>
        <v>6008</v>
      </c>
      <c r="AB56" s="172">
        <f t="shared" si="7"/>
        <v>0.3899779307</v>
      </c>
      <c r="AC56" s="93">
        <f t="shared" si="2"/>
        <v>8711</v>
      </c>
      <c r="AD56" s="172">
        <f t="shared" si="8"/>
        <v>0.5654290536</v>
      </c>
      <c r="AE56" s="134">
        <f t="shared" si="9"/>
        <v>15406</v>
      </c>
      <c r="AF56" s="93"/>
    </row>
    <row r="57">
      <c r="A57" s="98"/>
      <c r="B57" s="24" t="s">
        <v>72</v>
      </c>
      <c r="C57" s="25"/>
      <c r="D57" s="26">
        <f t="shared" ref="D57:W57" si="11">SUM(D48:D56)</f>
        <v>1</v>
      </c>
      <c r="E57" s="26">
        <f t="shared" si="11"/>
        <v>278</v>
      </c>
      <c r="F57" s="26">
        <f t="shared" si="11"/>
        <v>1467</v>
      </c>
      <c r="G57" s="26">
        <f t="shared" si="11"/>
        <v>3963</v>
      </c>
      <c r="H57" s="203">
        <f t="shared" si="11"/>
        <v>9</v>
      </c>
      <c r="I57" s="203">
        <f t="shared" si="11"/>
        <v>27621</v>
      </c>
      <c r="J57" s="203">
        <f t="shared" si="11"/>
        <v>7450</v>
      </c>
      <c r="K57" s="203">
        <f t="shared" si="11"/>
        <v>6742</v>
      </c>
      <c r="L57" s="203">
        <f t="shared" si="11"/>
        <v>10567</v>
      </c>
      <c r="M57" s="203">
        <f t="shared" si="11"/>
        <v>0</v>
      </c>
      <c r="N57" s="203">
        <f t="shared" si="11"/>
        <v>0</v>
      </c>
      <c r="O57" s="203">
        <f t="shared" si="11"/>
        <v>0</v>
      </c>
      <c r="P57" s="203">
        <f t="shared" si="11"/>
        <v>0</v>
      </c>
      <c r="Q57" s="203">
        <f t="shared" si="11"/>
        <v>0</v>
      </c>
      <c r="R57" s="26">
        <f t="shared" si="11"/>
        <v>0</v>
      </c>
      <c r="S57" s="26">
        <f t="shared" si="11"/>
        <v>31359</v>
      </c>
      <c r="T57" s="26">
        <f t="shared" si="11"/>
        <v>2653</v>
      </c>
      <c r="U57" s="26">
        <f t="shared" si="11"/>
        <v>1507</v>
      </c>
      <c r="V57" s="26">
        <f t="shared" si="11"/>
        <v>0</v>
      </c>
      <c r="W57" s="26">
        <f t="shared" si="11"/>
        <v>19933</v>
      </c>
      <c r="X57" s="132">
        <f t="shared" si="1"/>
        <v>113550</v>
      </c>
      <c r="Y57" s="204">
        <f t="shared" si="4"/>
        <v>5718</v>
      </c>
      <c r="Z57" s="205">
        <f t="shared" si="5"/>
        <v>0.05035667107</v>
      </c>
      <c r="AA57" s="204">
        <f t="shared" si="6"/>
        <v>77332</v>
      </c>
      <c r="AB57" s="205">
        <f t="shared" si="7"/>
        <v>0.6810391898</v>
      </c>
      <c r="AC57" s="204">
        <f t="shared" si="2"/>
        <v>30500</v>
      </c>
      <c r="AD57" s="205">
        <f t="shared" si="8"/>
        <v>0.2686041391</v>
      </c>
      <c r="AE57" s="204">
        <f t="shared" si="9"/>
        <v>113550</v>
      </c>
      <c r="AF57" s="134"/>
    </row>
    <row r="58">
      <c r="A58" s="65" t="s">
        <v>73</v>
      </c>
      <c r="B58" s="64"/>
      <c r="C58" s="25"/>
      <c r="D58" s="39">
        <f t="shared" ref="D58:W58" si="12">D47+D57</f>
        <v>2</v>
      </c>
      <c r="E58" s="39">
        <f t="shared" si="12"/>
        <v>1185</v>
      </c>
      <c r="F58" s="39">
        <f t="shared" si="12"/>
        <v>6535</v>
      </c>
      <c r="G58" s="39">
        <f t="shared" si="12"/>
        <v>16152</v>
      </c>
      <c r="H58" s="133">
        <f t="shared" si="12"/>
        <v>18</v>
      </c>
      <c r="I58" s="133">
        <f t="shared" si="12"/>
        <v>125675</v>
      </c>
      <c r="J58" s="133">
        <f t="shared" si="12"/>
        <v>37358</v>
      </c>
      <c r="K58" s="133">
        <f t="shared" si="12"/>
        <v>30925</v>
      </c>
      <c r="L58" s="133">
        <f t="shared" si="12"/>
        <v>51159</v>
      </c>
      <c r="M58" s="133">
        <f t="shared" si="12"/>
        <v>0</v>
      </c>
      <c r="N58" s="133">
        <f t="shared" si="12"/>
        <v>0</v>
      </c>
      <c r="O58" s="133">
        <f t="shared" si="12"/>
        <v>0</v>
      </c>
      <c r="P58" s="133">
        <f t="shared" si="12"/>
        <v>0</v>
      </c>
      <c r="Q58" s="133">
        <f t="shared" si="12"/>
        <v>0</v>
      </c>
      <c r="R58" s="39">
        <f t="shared" si="12"/>
        <v>0</v>
      </c>
      <c r="S58" s="39">
        <f t="shared" si="12"/>
        <v>149022</v>
      </c>
      <c r="T58" s="39">
        <f t="shared" si="12"/>
        <v>12455</v>
      </c>
      <c r="U58" s="39">
        <f t="shared" si="12"/>
        <v>9187</v>
      </c>
      <c r="V58" s="39">
        <f t="shared" si="12"/>
        <v>1</v>
      </c>
      <c r="W58" s="39">
        <f t="shared" si="12"/>
        <v>52620</v>
      </c>
      <c r="X58" s="132">
        <f t="shared" si="1"/>
        <v>492294</v>
      </c>
      <c r="Y58" s="204">
        <f t="shared" si="4"/>
        <v>23892</v>
      </c>
      <c r="Z58" s="205">
        <f t="shared" si="5"/>
        <v>0.0485319748</v>
      </c>
      <c r="AA58" s="204">
        <f t="shared" si="6"/>
        <v>364623</v>
      </c>
      <c r="AB58" s="205">
        <f t="shared" si="7"/>
        <v>0.7406610684</v>
      </c>
      <c r="AC58" s="204">
        <f t="shared" si="2"/>
        <v>103779</v>
      </c>
      <c r="AD58" s="205">
        <f t="shared" si="8"/>
        <v>0.2108069568</v>
      </c>
      <c r="AE58" s="204">
        <f t="shared" si="9"/>
        <v>492294</v>
      </c>
      <c r="AF58" s="134"/>
    </row>
    <row r="59">
      <c r="A59" s="65" t="s">
        <v>88</v>
      </c>
      <c r="B59" s="64"/>
      <c r="C59" s="25"/>
      <c r="D59" s="39">
        <f t="shared" ref="D59:W59" si="13">D18+D58</f>
        <v>3</v>
      </c>
      <c r="E59" s="39">
        <f t="shared" si="13"/>
        <v>1288</v>
      </c>
      <c r="F59" s="39">
        <f t="shared" si="13"/>
        <v>6851</v>
      </c>
      <c r="G59" s="39">
        <f t="shared" si="13"/>
        <v>17325</v>
      </c>
      <c r="H59" s="133">
        <f t="shared" si="13"/>
        <v>485</v>
      </c>
      <c r="I59" s="133">
        <f t="shared" si="13"/>
        <v>142206</v>
      </c>
      <c r="J59" s="133">
        <f t="shared" si="13"/>
        <v>37763</v>
      </c>
      <c r="K59" s="133">
        <f t="shared" si="13"/>
        <v>40963</v>
      </c>
      <c r="L59" s="133">
        <f t="shared" si="13"/>
        <v>63962</v>
      </c>
      <c r="M59" s="133">
        <f t="shared" si="13"/>
        <v>0</v>
      </c>
      <c r="N59" s="133">
        <f t="shared" si="13"/>
        <v>0</v>
      </c>
      <c r="O59" s="133">
        <f t="shared" si="13"/>
        <v>0</v>
      </c>
      <c r="P59" s="133">
        <f t="shared" si="13"/>
        <v>0</v>
      </c>
      <c r="Q59" s="133">
        <f t="shared" si="13"/>
        <v>0</v>
      </c>
      <c r="R59" s="39">
        <f t="shared" si="13"/>
        <v>0</v>
      </c>
      <c r="S59" s="39">
        <f t="shared" si="13"/>
        <v>149022</v>
      </c>
      <c r="T59" s="39">
        <f t="shared" si="13"/>
        <v>12570</v>
      </c>
      <c r="U59" s="39">
        <f t="shared" si="13"/>
        <v>9221</v>
      </c>
      <c r="V59" s="39">
        <f t="shared" si="13"/>
        <v>1</v>
      </c>
      <c r="W59" s="39">
        <f t="shared" si="13"/>
        <v>55415</v>
      </c>
      <c r="X59" s="132">
        <f t="shared" si="1"/>
        <v>537075</v>
      </c>
      <c r="Y59" s="134">
        <f t="shared" si="4"/>
        <v>25952</v>
      </c>
      <c r="Z59" s="172">
        <f t="shared" si="5"/>
        <v>0.048320998</v>
      </c>
      <c r="AA59" s="134">
        <f t="shared" si="6"/>
        <v>391746</v>
      </c>
      <c r="AB59" s="172">
        <f t="shared" si="7"/>
        <v>0.7294065075</v>
      </c>
      <c r="AC59" s="134">
        <f t="shared" si="2"/>
        <v>119377</v>
      </c>
      <c r="AD59" s="172">
        <f t="shared" si="8"/>
        <v>0.2222724945</v>
      </c>
      <c r="AE59" s="134">
        <f t="shared" si="9"/>
        <v>537075</v>
      </c>
      <c r="AF59" s="134"/>
    </row>
    <row r="61">
      <c r="E61" s="134">
        <f>sum(D58:H58)</f>
        <v>23892</v>
      </c>
      <c r="Z61" s="207">
        <f>Z58+AB58+AD58</f>
        <v>1</v>
      </c>
    </row>
  </sheetData>
  <mergeCells count="13">
    <mergeCell ref="A3:A17"/>
    <mergeCell ref="A19:A56"/>
    <mergeCell ref="B47:C47"/>
    <mergeCell ref="B57:C57"/>
    <mergeCell ref="A58:C58"/>
    <mergeCell ref="A59:C59"/>
    <mergeCell ref="A1:A2"/>
    <mergeCell ref="B1:B2"/>
    <mergeCell ref="C1:C2"/>
    <mergeCell ref="D1:L1"/>
    <mergeCell ref="M1:W1"/>
    <mergeCell ref="X1:X2"/>
    <mergeCell ref="A18:C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3.86"/>
    <col customWidth="1" min="2" max="2" width="10.71"/>
    <col customWidth="1" min="3" max="3" width="39.29"/>
    <col customWidth="1" min="4" max="7" width="17.0"/>
    <col customWidth="1" min="8" max="8" width="15.29"/>
    <col customWidth="1" min="9" max="9" width="15.43"/>
    <col customWidth="1" min="10" max="10" width="14.0"/>
    <col customWidth="1" min="11" max="11" width="10.86"/>
    <col customWidth="1" min="12" max="26" width="8.71"/>
  </cols>
  <sheetData>
    <row r="1" ht="23.25" customHeight="1">
      <c r="A1" s="66" t="s">
        <v>89</v>
      </c>
      <c r="B1" s="29"/>
    </row>
    <row r="2">
      <c r="A2" s="30" t="s">
        <v>154</v>
      </c>
      <c r="B2" s="29"/>
    </row>
    <row r="3">
      <c r="A3" s="31" t="s">
        <v>91</v>
      </c>
      <c r="B3" s="29"/>
    </row>
    <row r="5" ht="45.0" customHeight="1">
      <c r="A5" s="68" t="s">
        <v>78</v>
      </c>
      <c r="B5" s="68" t="s">
        <v>0</v>
      </c>
      <c r="C5" s="68" t="s">
        <v>1</v>
      </c>
      <c r="D5" s="105" t="s">
        <v>155</v>
      </c>
      <c r="E5" s="105" t="s">
        <v>156</v>
      </c>
      <c r="F5" s="105" t="s">
        <v>157</v>
      </c>
      <c r="G5" s="105" t="s">
        <v>81</v>
      </c>
      <c r="H5" s="105" t="s">
        <v>158</v>
      </c>
      <c r="I5" s="105" t="s">
        <v>159</v>
      </c>
      <c r="J5" s="105" t="s">
        <v>160</v>
      </c>
      <c r="K5" s="105" t="s">
        <v>161</v>
      </c>
    </row>
    <row r="6" ht="35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20.25" customHeight="1">
      <c r="A7" s="34" t="s">
        <v>84</v>
      </c>
      <c r="B7" s="4">
        <v>3003.0</v>
      </c>
      <c r="C7" s="5" t="s">
        <v>13</v>
      </c>
      <c r="D7" s="7"/>
      <c r="E7" s="7"/>
      <c r="F7" s="7"/>
      <c r="G7" s="7">
        <f t="shared" ref="G7:G22" si="1">SUM(D7:F7)</f>
        <v>0</v>
      </c>
      <c r="H7" s="208" t="str">
        <f t="shared" ref="H7:H64" si="2">D7/G7</f>
        <v>#DIV/0!</v>
      </c>
      <c r="I7" s="208" t="str">
        <f t="shared" ref="I7:I64" si="3">E7/G7</f>
        <v>#DIV/0!</v>
      </c>
      <c r="J7" s="208" t="str">
        <f t="shared" ref="J7:J64" si="4">F7/G7</f>
        <v>#DIV/0!</v>
      </c>
      <c r="K7" s="208" t="str">
        <f t="shared" ref="K7:K64" si="5">SUM(H7:J7)</f>
        <v>#DIV/0!</v>
      </c>
    </row>
    <row r="8" ht="20.25" customHeight="1">
      <c r="A8" s="38"/>
      <c r="B8" s="4">
        <v>3005.0</v>
      </c>
      <c r="C8" s="5" t="s">
        <v>19</v>
      </c>
      <c r="D8" s="7"/>
      <c r="E8" s="7"/>
      <c r="F8" s="7"/>
      <c r="G8" s="7">
        <f t="shared" si="1"/>
        <v>0</v>
      </c>
      <c r="H8" s="208" t="str">
        <f t="shared" si="2"/>
        <v>#DIV/0!</v>
      </c>
      <c r="I8" s="208" t="str">
        <f t="shared" si="3"/>
        <v>#DIV/0!</v>
      </c>
      <c r="J8" s="208" t="str">
        <f t="shared" si="4"/>
        <v>#DIV/0!</v>
      </c>
      <c r="K8" s="208" t="str">
        <f t="shared" si="5"/>
        <v>#DIV/0!</v>
      </c>
    </row>
    <row r="9" ht="20.25" customHeight="1">
      <c r="A9" s="38"/>
      <c r="B9" s="4">
        <v>3006.0</v>
      </c>
      <c r="C9" s="5" t="s">
        <v>20</v>
      </c>
      <c r="D9" s="7"/>
      <c r="E9" s="7"/>
      <c r="F9" s="7"/>
      <c r="G9" s="7">
        <f t="shared" si="1"/>
        <v>0</v>
      </c>
      <c r="H9" s="208" t="str">
        <f t="shared" si="2"/>
        <v>#DIV/0!</v>
      </c>
      <c r="I9" s="208" t="str">
        <f t="shared" si="3"/>
        <v>#DIV/0!</v>
      </c>
      <c r="J9" s="208" t="str">
        <f t="shared" si="4"/>
        <v>#DIV/0!</v>
      </c>
      <c r="K9" s="208" t="str">
        <f t="shared" si="5"/>
        <v>#DIV/0!</v>
      </c>
    </row>
    <row r="10" ht="20.25" customHeight="1">
      <c r="A10" s="38"/>
      <c r="B10" s="4">
        <v>3012.0</v>
      </c>
      <c r="C10" s="5" t="s">
        <v>21</v>
      </c>
      <c r="D10" s="7"/>
      <c r="E10" s="7"/>
      <c r="F10" s="7"/>
      <c r="G10" s="7">
        <f t="shared" si="1"/>
        <v>0</v>
      </c>
      <c r="H10" s="208" t="str">
        <f t="shared" si="2"/>
        <v>#DIV/0!</v>
      </c>
      <c r="I10" s="208" t="str">
        <f t="shared" si="3"/>
        <v>#DIV/0!</v>
      </c>
      <c r="J10" s="208" t="str">
        <f t="shared" si="4"/>
        <v>#DIV/0!</v>
      </c>
      <c r="K10" s="208" t="str">
        <f t="shared" si="5"/>
        <v>#DIV/0!</v>
      </c>
    </row>
    <row r="11" ht="20.25" customHeight="1">
      <c r="A11" s="38"/>
      <c r="B11" s="4">
        <v>3023.0</v>
      </c>
      <c r="C11" s="5" t="s">
        <v>85</v>
      </c>
      <c r="D11" s="7"/>
      <c r="E11" s="7"/>
      <c r="F11" s="7"/>
      <c r="G11" s="7">
        <f t="shared" si="1"/>
        <v>0</v>
      </c>
      <c r="H11" s="208" t="str">
        <f t="shared" si="2"/>
        <v>#DIV/0!</v>
      </c>
      <c r="I11" s="208" t="str">
        <f t="shared" si="3"/>
        <v>#DIV/0!</v>
      </c>
      <c r="J11" s="208" t="str">
        <f t="shared" si="4"/>
        <v>#DIV/0!</v>
      </c>
      <c r="K11" s="208" t="str">
        <f t="shared" si="5"/>
        <v>#DIV/0!</v>
      </c>
    </row>
    <row r="12" ht="20.25" customHeight="1">
      <c r="A12" s="38"/>
      <c r="B12" s="4">
        <v>3024.0</v>
      </c>
      <c r="C12" s="5" t="s">
        <v>22</v>
      </c>
      <c r="D12" s="7"/>
      <c r="E12" s="7"/>
      <c r="F12" s="7"/>
      <c r="G12" s="7">
        <f t="shared" si="1"/>
        <v>0</v>
      </c>
      <c r="H12" s="208" t="str">
        <f t="shared" si="2"/>
        <v>#DIV/0!</v>
      </c>
      <c r="I12" s="208" t="str">
        <f t="shared" si="3"/>
        <v>#DIV/0!</v>
      </c>
      <c r="J12" s="208" t="str">
        <f t="shared" si="4"/>
        <v>#DIV/0!</v>
      </c>
      <c r="K12" s="208" t="str">
        <f t="shared" si="5"/>
        <v>#DIV/0!</v>
      </c>
      <c r="N12" s="93">
        <f>37+16</f>
        <v>53</v>
      </c>
    </row>
    <row r="13" ht="20.25" customHeight="1">
      <c r="A13" s="38"/>
      <c r="B13" s="4">
        <v>3038.0</v>
      </c>
      <c r="C13" s="5" t="s">
        <v>23</v>
      </c>
      <c r="D13" s="7"/>
      <c r="E13" s="7"/>
      <c r="F13" s="7"/>
      <c r="G13" s="7">
        <f t="shared" si="1"/>
        <v>0</v>
      </c>
      <c r="H13" s="208" t="str">
        <f t="shared" si="2"/>
        <v>#DIV/0!</v>
      </c>
      <c r="I13" s="208" t="str">
        <f t="shared" si="3"/>
        <v>#DIV/0!</v>
      </c>
      <c r="J13" s="208" t="str">
        <f t="shared" si="4"/>
        <v>#DIV/0!</v>
      </c>
      <c r="K13" s="208" t="str">
        <f t="shared" si="5"/>
        <v>#DIV/0!</v>
      </c>
    </row>
    <row r="14" ht="20.25" customHeight="1">
      <c r="A14" s="38"/>
      <c r="B14" s="4">
        <v>4002.0</v>
      </c>
      <c r="C14" s="5" t="s">
        <v>24</v>
      </c>
      <c r="D14" s="7"/>
      <c r="E14" s="7"/>
      <c r="F14" s="7"/>
      <c r="G14" s="7">
        <f t="shared" si="1"/>
        <v>0</v>
      </c>
      <c r="H14" s="208" t="str">
        <f t="shared" si="2"/>
        <v>#DIV/0!</v>
      </c>
      <c r="I14" s="208" t="str">
        <f t="shared" si="3"/>
        <v>#DIV/0!</v>
      </c>
      <c r="J14" s="208" t="str">
        <f t="shared" si="4"/>
        <v>#DIV/0!</v>
      </c>
      <c r="K14" s="208" t="str">
        <f t="shared" si="5"/>
        <v>#DIV/0!</v>
      </c>
    </row>
    <row r="15" ht="20.25" customHeight="1">
      <c r="A15" s="38"/>
      <c r="B15" s="4">
        <v>4007.0</v>
      </c>
      <c r="C15" s="5" t="s">
        <v>25</v>
      </c>
      <c r="D15" s="7"/>
      <c r="E15" s="7"/>
      <c r="F15" s="7"/>
      <c r="G15" s="7">
        <f t="shared" si="1"/>
        <v>0</v>
      </c>
      <c r="H15" s="208" t="str">
        <f t="shared" si="2"/>
        <v>#DIV/0!</v>
      </c>
      <c r="I15" s="208" t="str">
        <f t="shared" si="3"/>
        <v>#DIV/0!</v>
      </c>
      <c r="J15" s="208" t="str">
        <f t="shared" si="4"/>
        <v>#DIV/0!</v>
      </c>
      <c r="K15" s="208" t="str">
        <f t="shared" si="5"/>
        <v>#DIV/0!</v>
      </c>
    </row>
    <row r="16" ht="20.25" customHeight="1">
      <c r="A16" s="38"/>
      <c r="B16" s="4">
        <v>4008.0</v>
      </c>
      <c r="C16" s="5" t="s">
        <v>26</v>
      </c>
      <c r="D16" s="7"/>
      <c r="E16" s="7"/>
      <c r="F16" s="7"/>
      <c r="G16" s="7">
        <f t="shared" si="1"/>
        <v>0</v>
      </c>
      <c r="H16" s="208" t="str">
        <f t="shared" si="2"/>
        <v>#DIV/0!</v>
      </c>
      <c r="I16" s="208" t="str">
        <f t="shared" si="3"/>
        <v>#DIV/0!</v>
      </c>
      <c r="J16" s="208" t="str">
        <f t="shared" si="4"/>
        <v>#DIV/0!</v>
      </c>
      <c r="K16" s="208" t="str">
        <f t="shared" si="5"/>
        <v>#DIV/0!</v>
      </c>
    </row>
    <row r="17" ht="20.25" customHeight="1">
      <c r="A17" s="38"/>
      <c r="B17" s="4">
        <v>4016.0</v>
      </c>
      <c r="C17" s="5" t="s">
        <v>27</v>
      </c>
      <c r="D17" s="7"/>
      <c r="E17" s="7"/>
      <c r="F17" s="7"/>
      <c r="G17" s="7">
        <f t="shared" si="1"/>
        <v>0</v>
      </c>
      <c r="H17" s="208" t="str">
        <f t="shared" si="2"/>
        <v>#DIV/0!</v>
      </c>
      <c r="I17" s="208" t="str">
        <f t="shared" si="3"/>
        <v>#DIV/0!</v>
      </c>
      <c r="J17" s="208" t="str">
        <f t="shared" si="4"/>
        <v>#DIV/0!</v>
      </c>
      <c r="K17" s="208" t="str">
        <f t="shared" si="5"/>
        <v>#DIV/0!</v>
      </c>
    </row>
    <row r="18" ht="20.25" customHeight="1">
      <c r="A18" s="38"/>
      <c r="B18" s="4">
        <v>4020.0</v>
      </c>
      <c r="C18" s="5" t="s">
        <v>28</v>
      </c>
      <c r="D18" s="7"/>
      <c r="E18" s="7"/>
      <c r="F18" s="7"/>
      <c r="G18" s="7">
        <f t="shared" si="1"/>
        <v>0</v>
      </c>
      <c r="H18" s="208" t="str">
        <f t="shared" si="2"/>
        <v>#DIV/0!</v>
      </c>
      <c r="I18" s="208" t="str">
        <f t="shared" si="3"/>
        <v>#DIV/0!</v>
      </c>
      <c r="J18" s="208" t="str">
        <f t="shared" si="4"/>
        <v>#DIV/0!</v>
      </c>
      <c r="K18" s="208" t="str">
        <f t="shared" si="5"/>
        <v>#DIV/0!</v>
      </c>
    </row>
    <row r="19" ht="20.25" customHeight="1">
      <c r="A19" s="38"/>
      <c r="B19" s="4">
        <v>4023.0</v>
      </c>
      <c r="C19" s="5" t="s">
        <v>29</v>
      </c>
      <c r="D19" s="7"/>
      <c r="E19" s="7"/>
      <c r="F19" s="7"/>
      <c r="G19" s="7">
        <f t="shared" si="1"/>
        <v>0</v>
      </c>
      <c r="H19" s="208" t="str">
        <f t="shared" si="2"/>
        <v>#DIV/0!</v>
      </c>
      <c r="I19" s="208" t="str">
        <f t="shared" si="3"/>
        <v>#DIV/0!</v>
      </c>
      <c r="J19" s="208" t="str">
        <f t="shared" si="4"/>
        <v>#DIV/0!</v>
      </c>
      <c r="K19" s="208" t="str">
        <f t="shared" si="5"/>
        <v>#DIV/0!</v>
      </c>
    </row>
    <row r="20" ht="20.25" customHeight="1">
      <c r="A20" s="38"/>
      <c r="B20" s="4">
        <v>4024.0</v>
      </c>
      <c r="C20" s="5" t="s">
        <v>30</v>
      </c>
      <c r="D20" s="7"/>
      <c r="E20" s="7"/>
      <c r="F20" s="7"/>
      <c r="G20" s="7">
        <f t="shared" si="1"/>
        <v>0</v>
      </c>
      <c r="H20" s="208" t="str">
        <f t="shared" si="2"/>
        <v>#DIV/0!</v>
      </c>
      <c r="I20" s="208" t="str">
        <f t="shared" si="3"/>
        <v>#DIV/0!</v>
      </c>
      <c r="J20" s="208" t="str">
        <f t="shared" si="4"/>
        <v>#DIV/0!</v>
      </c>
      <c r="K20" s="208" t="str">
        <f t="shared" si="5"/>
        <v>#DIV/0!</v>
      </c>
    </row>
    <row r="21" ht="20.25" customHeight="1">
      <c r="A21" s="38"/>
      <c r="B21" s="4">
        <v>4033.0</v>
      </c>
      <c r="C21" s="5" t="s">
        <v>31</v>
      </c>
      <c r="D21" s="7"/>
      <c r="E21" s="7"/>
      <c r="F21" s="7"/>
      <c r="G21" s="7">
        <f t="shared" si="1"/>
        <v>0</v>
      </c>
      <c r="H21" s="208" t="str">
        <f t="shared" si="2"/>
        <v>#DIV/0!</v>
      </c>
      <c r="I21" s="208" t="str">
        <f t="shared" si="3"/>
        <v>#DIV/0!</v>
      </c>
      <c r="J21" s="208" t="str">
        <f t="shared" si="4"/>
        <v>#DIV/0!</v>
      </c>
      <c r="K21" s="208" t="str">
        <f t="shared" si="5"/>
        <v>#DIV/0!</v>
      </c>
    </row>
    <row r="22" ht="20.25" customHeight="1">
      <c r="A22" s="3"/>
      <c r="B22" s="4">
        <v>4071.0</v>
      </c>
      <c r="C22" s="5" t="s">
        <v>32</v>
      </c>
      <c r="D22" s="7"/>
      <c r="E22" s="7"/>
      <c r="F22" s="7"/>
      <c r="G22" s="7">
        <f t="shared" si="1"/>
        <v>0</v>
      </c>
      <c r="H22" s="208" t="str">
        <f t="shared" si="2"/>
        <v>#DIV/0!</v>
      </c>
      <c r="I22" s="208" t="str">
        <f t="shared" si="3"/>
        <v>#DIV/0!</v>
      </c>
      <c r="J22" s="208" t="str">
        <f t="shared" si="4"/>
        <v>#DIV/0!</v>
      </c>
      <c r="K22" s="208" t="str">
        <f t="shared" si="5"/>
        <v>#DIV/0!</v>
      </c>
    </row>
    <row r="23" ht="37.5" customHeight="1">
      <c r="A23" s="78" t="s">
        <v>86</v>
      </c>
      <c r="B23" s="64"/>
      <c r="C23" s="25"/>
      <c r="D23" s="39">
        <f t="shared" ref="D23:G23" si="6">SUM(D7:D22)</f>
        <v>0</v>
      </c>
      <c r="E23" s="39">
        <f t="shared" si="6"/>
        <v>0</v>
      </c>
      <c r="F23" s="39">
        <f t="shared" si="6"/>
        <v>0</v>
      </c>
      <c r="G23" s="39">
        <f t="shared" si="6"/>
        <v>0</v>
      </c>
      <c r="H23" s="112" t="str">
        <f t="shared" si="2"/>
        <v>#DIV/0!</v>
      </c>
      <c r="I23" s="112" t="str">
        <f t="shared" si="3"/>
        <v>#DIV/0!</v>
      </c>
      <c r="J23" s="112" t="str">
        <f t="shared" si="4"/>
        <v>#DIV/0!</v>
      </c>
      <c r="K23" s="112" t="str">
        <f t="shared" si="5"/>
        <v>#DIV/0!</v>
      </c>
    </row>
    <row r="24" ht="20.25" customHeight="1">
      <c r="A24" s="34" t="s">
        <v>87</v>
      </c>
      <c r="B24" s="4">
        <v>6100.0</v>
      </c>
      <c r="C24" s="5" t="s">
        <v>33</v>
      </c>
      <c r="D24" s="7"/>
      <c r="E24" s="7"/>
      <c r="F24" s="7"/>
      <c r="G24" s="7"/>
      <c r="H24" s="208" t="str">
        <f t="shared" si="2"/>
        <v>#DIV/0!</v>
      </c>
      <c r="I24" s="208" t="str">
        <f t="shared" si="3"/>
        <v>#DIV/0!</v>
      </c>
      <c r="J24" s="208" t="str">
        <f t="shared" si="4"/>
        <v>#DIV/0!</v>
      </c>
      <c r="K24" s="208" t="str">
        <f t="shared" si="5"/>
        <v>#DIV/0!</v>
      </c>
    </row>
    <row r="25" ht="20.25" customHeight="1">
      <c r="A25" s="38"/>
      <c r="B25" s="4">
        <v>6101.0</v>
      </c>
      <c r="C25" s="5" t="s">
        <v>34</v>
      </c>
      <c r="D25" s="7"/>
      <c r="E25" s="7"/>
      <c r="F25" s="7"/>
      <c r="G25" s="7"/>
      <c r="H25" s="208" t="str">
        <f t="shared" si="2"/>
        <v>#DIV/0!</v>
      </c>
      <c r="I25" s="208" t="str">
        <f t="shared" si="3"/>
        <v>#DIV/0!</v>
      </c>
      <c r="J25" s="208" t="str">
        <f t="shared" si="4"/>
        <v>#DIV/0!</v>
      </c>
      <c r="K25" s="208" t="str">
        <f t="shared" si="5"/>
        <v>#DIV/0!</v>
      </c>
    </row>
    <row r="26" ht="20.25" customHeight="1">
      <c r="A26" s="38"/>
      <c r="B26" s="4">
        <v>6102.0</v>
      </c>
      <c r="C26" s="5" t="s">
        <v>35</v>
      </c>
      <c r="D26" s="7"/>
      <c r="E26" s="7"/>
      <c r="F26" s="7"/>
      <c r="G26" s="7"/>
      <c r="H26" s="208" t="str">
        <f t="shared" si="2"/>
        <v>#DIV/0!</v>
      </c>
      <c r="I26" s="208" t="str">
        <f t="shared" si="3"/>
        <v>#DIV/0!</v>
      </c>
      <c r="J26" s="208" t="str">
        <f t="shared" si="4"/>
        <v>#DIV/0!</v>
      </c>
      <c r="K26" s="208" t="str">
        <f t="shared" si="5"/>
        <v>#DIV/0!</v>
      </c>
    </row>
    <row r="27" ht="20.25" customHeight="1">
      <c r="A27" s="38"/>
      <c r="B27" s="4">
        <v>6103.0</v>
      </c>
      <c r="C27" s="5" t="s">
        <v>36</v>
      </c>
      <c r="D27" s="7"/>
      <c r="E27" s="7"/>
      <c r="F27" s="7"/>
      <c r="G27" s="7"/>
      <c r="H27" s="208" t="str">
        <f t="shared" si="2"/>
        <v>#DIV/0!</v>
      </c>
      <c r="I27" s="208" t="str">
        <f t="shared" si="3"/>
        <v>#DIV/0!</v>
      </c>
      <c r="J27" s="208" t="str">
        <f t="shared" si="4"/>
        <v>#DIV/0!</v>
      </c>
      <c r="K27" s="208" t="str">
        <f t="shared" si="5"/>
        <v>#DIV/0!</v>
      </c>
    </row>
    <row r="28" ht="20.25" customHeight="1">
      <c r="A28" s="38"/>
      <c r="B28" s="4">
        <v>6104.0</v>
      </c>
      <c r="C28" s="5" t="s">
        <v>37</v>
      </c>
      <c r="D28" s="7"/>
      <c r="E28" s="7"/>
      <c r="F28" s="7"/>
      <c r="G28" s="7"/>
      <c r="H28" s="208" t="str">
        <f t="shared" si="2"/>
        <v>#DIV/0!</v>
      </c>
      <c r="I28" s="208" t="str">
        <f t="shared" si="3"/>
        <v>#DIV/0!</v>
      </c>
      <c r="J28" s="208" t="str">
        <f t="shared" si="4"/>
        <v>#DIV/0!</v>
      </c>
      <c r="K28" s="208" t="str">
        <f t="shared" si="5"/>
        <v>#DIV/0!</v>
      </c>
    </row>
    <row r="29" ht="20.25" customHeight="1">
      <c r="A29" s="38"/>
      <c r="B29" s="4">
        <v>6105.0</v>
      </c>
      <c r="C29" s="5" t="s">
        <v>39</v>
      </c>
      <c r="D29" s="7"/>
      <c r="E29" s="7"/>
      <c r="F29" s="7"/>
      <c r="G29" s="7"/>
      <c r="H29" s="208" t="str">
        <f t="shared" si="2"/>
        <v>#DIV/0!</v>
      </c>
      <c r="I29" s="208" t="str">
        <f t="shared" si="3"/>
        <v>#DIV/0!</v>
      </c>
      <c r="J29" s="208" t="str">
        <f t="shared" si="4"/>
        <v>#DIV/0!</v>
      </c>
      <c r="K29" s="208" t="str">
        <f t="shared" si="5"/>
        <v>#DIV/0!</v>
      </c>
    </row>
    <row r="30" ht="20.25" customHeight="1">
      <c r="A30" s="38"/>
      <c r="B30" s="4">
        <v>6106.0</v>
      </c>
      <c r="C30" s="5" t="s">
        <v>40</v>
      </c>
      <c r="D30" s="7"/>
      <c r="E30" s="7"/>
      <c r="F30" s="7"/>
      <c r="G30" s="7"/>
      <c r="H30" s="208" t="str">
        <f t="shared" si="2"/>
        <v>#DIV/0!</v>
      </c>
      <c r="I30" s="208" t="str">
        <f t="shared" si="3"/>
        <v>#DIV/0!</v>
      </c>
      <c r="J30" s="208" t="str">
        <f t="shared" si="4"/>
        <v>#DIV/0!</v>
      </c>
      <c r="K30" s="208" t="str">
        <f t="shared" si="5"/>
        <v>#DIV/0!</v>
      </c>
    </row>
    <row r="31" ht="20.25" customHeight="1">
      <c r="A31" s="38"/>
      <c r="B31" s="4">
        <v>6107.0</v>
      </c>
      <c r="C31" s="5" t="s">
        <v>41</v>
      </c>
      <c r="D31" s="7"/>
      <c r="E31" s="7"/>
      <c r="F31" s="7"/>
      <c r="G31" s="7"/>
      <c r="H31" s="208" t="str">
        <f t="shared" si="2"/>
        <v>#DIV/0!</v>
      </c>
      <c r="I31" s="208" t="str">
        <f t="shared" si="3"/>
        <v>#DIV/0!</v>
      </c>
      <c r="J31" s="208" t="str">
        <f t="shared" si="4"/>
        <v>#DIV/0!</v>
      </c>
      <c r="K31" s="208" t="str">
        <f t="shared" si="5"/>
        <v>#DIV/0!</v>
      </c>
    </row>
    <row r="32" ht="20.25" customHeight="1">
      <c r="A32" s="38"/>
      <c r="B32" s="4">
        <v>6108.0</v>
      </c>
      <c r="C32" s="5" t="s">
        <v>42</v>
      </c>
      <c r="D32" s="7"/>
      <c r="E32" s="7"/>
      <c r="F32" s="7"/>
      <c r="G32" s="7"/>
      <c r="H32" s="208" t="str">
        <f t="shared" si="2"/>
        <v>#DIV/0!</v>
      </c>
      <c r="I32" s="208" t="str">
        <f t="shared" si="3"/>
        <v>#DIV/0!</v>
      </c>
      <c r="J32" s="208" t="str">
        <f t="shared" si="4"/>
        <v>#DIV/0!</v>
      </c>
      <c r="K32" s="208" t="str">
        <f t="shared" si="5"/>
        <v>#DIV/0!</v>
      </c>
    </row>
    <row r="33" ht="20.25" customHeight="1">
      <c r="A33" s="38"/>
      <c r="B33" s="4">
        <v>6109.0</v>
      </c>
      <c r="C33" s="5" t="s">
        <v>43</v>
      </c>
      <c r="D33" s="7"/>
      <c r="E33" s="7"/>
      <c r="F33" s="7"/>
      <c r="G33" s="7"/>
      <c r="H33" s="208" t="str">
        <f t="shared" si="2"/>
        <v>#DIV/0!</v>
      </c>
      <c r="I33" s="208" t="str">
        <f t="shared" si="3"/>
        <v>#DIV/0!</v>
      </c>
      <c r="J33" s="208" t="str">
        <f t="shared" si="4"/>
        <v>#DIV/0!</v>
      </c>
      <c r="K33" s="208" t="str">
        <f t="shared" si="5"/>
        <v>#DIV/0!</v>
      </c>
    </row>
    <row r="34" ht="20.25" customHeight="1">
      <c r="A34" s="38"/>
      <c r="B34" s="4">
        <v>6110.0</v>
      </c>
      <c r="C34" s="5" t="s">
        <v>44</v>
      </c>
      <c r="D34" s="7"/>
      <c r="E34" s="7"/>
      <c r="F34" s="7"/>
      <c r="G34" s="7"/>
      <c r="H34" s="208" t="str">
        <f t="shared" si="2"/>
        <v>#DIV/0!</v>
      </c>
      <c r="I34" s="208" t="str">
        <f t="shared" si="3"/>
        <v>#DIV/0!</v>
      </c>
      <c r="J34" s="208" t="str">
        <f t="shared" si="4"/>
        <v>#DIV/0!</v>
      </c>
      <c r="K34" s="208" t="str">
        <f t="shared" si="5"/>
        <v>#DIV/0!</v>
      </c>
    </row>
    <row r="35" ht="20.25" customHeight="1">
      <c r="A35" s="38"/>
      <c r="B35" s="4">
        <v>6111.0</v>
      </c>
      <c r="C35" s="5" t="s">
        <v>45</v>
      </c>
      <c r="D35" s="7"/>
      <c r="E35" s="7"/>
      <c r="F35" s="7"/>
      <c r="G35" s="7"/>
      <c r="H35" s="208" t="str">
        <f t="shared" si="2"/>
        <v>#DIV/0!</v>
      </c>
      <c r="I35" s="208" t="str">
        <f t="shared" si="3"/>
        <v>#DIV/0!</v>
      </c>
      <c r="J35" s="208" t="str">
        <f t="shared" si="4"/>
        <v>#DIV/0!</v>
      </c>
      <c r="K35" s="208" t="str">
        <f t="shared" si="5"/>
        <v>#DIV/0!</v>
      </c>
    </row>
    <row r="36" ht="20.25" customHeight="1">
      <c r="A36" s="38"/>
      <c r="B36" s="4">
        <v>6112.0</v>
      </c>
      <c r="C36" s="5" t="s">
        <v>46</v>
      </c>
      <c r="D36" s="7"/>
      <c r="E36" s="7"/>
      <c r="F36" s="7"/>
      <c r="G36" s="7"/>
      <c r="H36" s="208" t="str">
        <f t="shared" si="2"/>
        <v>#DIV/0!</v>
      </c>
      <c r="I36" s="208" t="str">
        <f t="shared" si="3"/>
        <v>#DIV/0!</v>
      </c>
      <c r="J36" s="208" t="str">
        <f t="shared" si="4"/>
        <v>#DIV/0!</v>
      </c>
      <c r="K36" s="208" t="str">
        <f t="shared" si="5"/>
        <v>#DIV/0!</v>
      </c>
    </row>
    <row r="37" ht="20.25" customHeight="1">
      <c r="A37" s="38"/>
      <c r="B37" s="4">
        <v>6113.0</v>
      </c>
      <c r="C37" s="5" t="s">
        <v>47</v>
      </c>
      <c r="D37" s="7"/>
      <c r="E37" s="7"/>
      <c r="F37" s="7"/>
      <c r="G37" s="7"/>
      <c r="H37" s="208" t="str">
        <f t="shared" si="2"/>
        <v>#DIV/0!</v>
      </c>
      <c r="I37" s="208" t="str">
        <f t="shared" si="3"/>
        <v>#DIV/0!</v>
      </c>
      <c r="J37" s="208" t="str">
        <f t="shared" si="4"/>
        <v>#DIV/0!</v>
      </c>
      <c r="K37" s="208" t="str">
        <f t="shared" si="5"/>
        <v>#DIV/0!</v>
      </c>
    </row>
    <row r="38" ht="20.25" customHeight="1">
      <c r="A38" s="38"/>
      <c r="B38" s="4">
        <v>6114.0</v>
      </c>
      <c r="C38" s="5" t="s">
        <v>48</v>
      </c>
      <c r="D38" s="7"/>
      <c r="E38" s="7"/>
      <c r="F38" s="7"/>
      <c r="G38" s="7"/>
      <c r="H38" s="208" t="str">
        <f t="shared" si="2"/>
        <v>#DIV/0!</v>
      </c>
      <c r="I38" s="208" t="str">
        <f t="shared" si="3"/>
        <v>#DIV/0!</v>
      </c>
      <c r="J38" s="208" t="str">
        <f t="shared" si="4"/>
        <v>#DIV/0!</v>
      </c>
      <c r="K38" s="208" t="str">
        <f t="shared" si="5"/>
        <v>#DIV/0!</v>
      </c>
    </row>
    <row r="39" ht="20.25" customHeight="1">
      <c r="A39" s="38"/>
      <c r="B39" s="4">
        <v>6115.0</v>
      </c>
      <c r="C39" s="5" t="s">
        <v>49</v>
      </c>
      <c r="D39" s="7"/>
      <c r="E39" s="7"/>
      <c r="F39" s="7"/>
      <c r="G39" s="7"/>
      <c r="H39" s="208" t="str">
        <f t="shared" si="2"/>
        <v>#DIV/0!</v>
      </c>
      <c r="I39" s="208" t="str">
        <f t="shared" si="3"/>
        <v>#DIV/0!</v>
      </c>
      <c r="J39" s="208" t="str">
        <f t="shared" si="4"/>
        <v>#DIV/0!</v>
      </c>
      <c r="K39" s="208" t="str">
        <f t="shared" si="5"/>
        <v>#DIV/0!</v>
      </c>
    </row>
    <row r="40" ht="20.25" customHeight="1">
      <c r="A40" s="38"/>
      <c r="B40" s="4">
        <v>6116.0</v>
      </c>
      <c r="C40" s="5" t="s">
        <v>50</v>
      </c>
      <c r="D40" s="7"/>
      <c r="E40" s="7"/>
      <c r="F40" s="7"/>
      <c r="G40" s="7"/>
      <c r="H40" s="208" t="str">
        <f t="shared" si="2"/>
        <v>#DIV/0!</v>
      </c>
      <c r="I40" s="208" t="str">
        <f t="shared" si="3"/>
        <v>#DIV/0!</v>
      </c>
      <c r="J40" s="208" t="str">
        <f t="shared" si="4"/>
        <v>#DIV/0!</v>
      </c>
      <c r="K40" s="208" t="str">
        <f t="shared" si="5"/>
        <v>#DIV/0!</v>
      </c>
    </row>
    <row r="41" ht="20.25" customHeight="1">
      <c r="A41" s="38"/>
      <c r="B41" s="4">
        <v>6117.0</v>
      </c>
      <c r="C41" s="5" t="s">
        <v>51</v>
      </c>
      <c r="D41" s="7"/>
      <c r="E41" s="7"/>
      <c r="F41" s="7"/>
      <c r="G41" s="7"/>
      <c r="H41" s="208" t="str">
        <f t="shared" si="2"/>
        <v>#DIV/0!</v>
      </c>
      <c r="I41" s="208" t="str">
        <f t="shared" si="3"/>
        <v>#DIV/0!</v>
      </c>
      <c r="J41" s="208" t="str">
        <f t="shared" si="4"/>
        <v>#DIV/0!</v>
      </c>
      <c r="K41" s="208" t="str">
        <f t="shared" si="5"/>
        <v>#DIV/0!</v>
      </c>
    </row>
    <row r="42" ht="20.25" customHeight="1">
      <c r="A42" s="38"/>
      <c r="B42" s="4">
        <v>6118.0</v>
      </c>
      <c r="C42" s="5" t="s">
        <v>52</v>
      </c>
      <c r="D42" s="7"/>
      <c r="E42" s="7"/>
      <c r="F42" s="7"/>
      <c r="G42" s="7"/>
      <c r="H42" s="208" t="str">
        <f t="shared" si="2"/>
        <v>#DIV/0!</v>
      </c>
      <c r="I42" s="208" t="str">
        <f t="shared" si="3"/>
        <v>#DIV/0!</v>
      </c>
      <c r="J42" s="208" t="str">
        <f t="shared" si="4"/>
        <v>#DIV/0!</v>
      </c>
      <c r="K42" s="208" t="str">
        <f t="shared" si="5"/>
        <v>#DIV/0!</v>
      </c>
    </row>
    <row r="43" ht="20.25" customHeight="1">
      <c r="A43" s="38"/>
      <c r="B43" s="4">
        <v>6171.0</v>
      </c>
      <c r="C43" s="5" t="s">
        <v>53</v>
      </c>
      <c r="D43" s="7"/>
      <c r="E43" s="7"/>
      <c r="F43" s="7"/>
      <c r="G43" s="7"/>
      <c r="H43" s="208" t="str">
        <f t="shared" si="2"/>
        <v>#DIV/0!</v>
      </c>
      <c r="I43" s="208" t="str">
        <f t="shared" si="3"/>
        <v>#DIV/0!</v>
      </c>
      <c r="J43" s="208" t="str">
        <f t="shared" si="4"/>
        <v>#DIV/0!</v>
      </c>
      <c r="K43" s="208" t="str">
        <f t="shared" si="5"/>
        <v>#DIV/0!</v>
      </c>
    </row>
    <row r="44" ht="20.25" customHeight="1">
      <c r="A44" s="38"/>
      <c r="B44" s="4">
        <v>6172.0</v>
      </c>
      <c r="C44" s="5" t="s">
        <v>54</v>
      </c>
      <c r="D44" s="7"/>
      <c r="E44" s="7"/>
      <c r="F44" s="7"/>
      <c r="G44" s="7"/>
      <c r="H44" s="208" t="str">
        <f t="shared" si="2"/>
        <v>#DIV/0!</v>
      </c>
      <c r="I44" s="208" t="str">
        <f t="shared" si="3"/>
        <v>#DIV/0!</v>
      </c>
      <c r="J44" s="208" t="str">
        <f t="shared" si="4"/>
        <v>#DIV/0!</v>
      </c>
      <c r="K44" s="208" t="str">
        <f t="shared" si="5"/>
        <v>#DIV/0!</v>
      </c>
    </row>
    <row r="45" ht="20.25" customHeight="1">
      <c r="A45" s="38"/>
      <c r="B45" s="4">
        <v>6173.0</v>
      </c>
      <c r="C45" s="5" t="s">
        <v>55</v>
      </c>
      <c r="D45" s="7"/>
      <c r="E45" s="7"/>
      <c r="F45" s="7"/>
      <c r="G45" s="7"/>
      <c r="H45" s="208" t="str">
        <f t="shared" si="2"/>
        <v>#DIV/0!</v>
      </c>
      <c r="I45" s="208" t="str">
        <f t="shared" si="3"/>
        <v>#DIV/0!</v>
      </c>
      <c r="J45" s="208" t="str">
        <f t="shared" si="4"/>
        <v>#DIV/0!</v>
      </c>
      <c r="K45" s="208" t="str">
        <f t="shared" si="5"/>
        <v>#DIV/0!</v>
      </c>
    </row>
    <row r="46" ht="20.25" customHeight="1">
      <c r="A46" s="38"/>
      <c r="B46" s="4">
        <v>6174.0</v>
      </c>
      <c r="C46" s="5" t="s">
        <v>56</v>
      </c>
      <c r="D46" s="7"/>
      <c r="E46" s="7"/>
      <c r="F46" s="7"/>
      <c r="G46" s="7"/>
      <c r="H46" s="208" t="str">
        <f t="shared" si="2"/>
        <v>#DIV/0!</v>
      </c>
      <c r="I46" s="208" t="str">
        <f t="shared" si="3"/>
        <v>#DIV/0!</v>
      </c>
      <c r="J46" s="208" t="str">
        <f t="shared" si="4"/>
        <v>#DIV/0!</v>
      </c>
      <c r="K46" s="208" t="str">
        <f t="shared" si="5"/>
        <v>#DIV/0!</v>
      </c>
    </row>
    <row r="47" ht="20.25" customHeight="1">
      <c r="A47" s="38"/>
      <c r="B47" s="4">
        <v>6175.0</v>
      </c>
      <c r="C47" s="5" t="s">
        <v>57</v>
      </c>
      <c r="D47" s="7"/>
      <c r="E47" s="7"/>
      <c r="F47" s="7"/>
      <c r="G47" s="7"/>
      <c r="H47" s="208" t="str">
        <f t="shared" si="2"/>
        <v>#DIV/0!</v>
      </c>
      <c r="I47" s="208" t="str">
        <f t="shared" si="3"/>
        <v>#DIV/0!</v>
      </c>
      <c r="J47" s="208" t="str">
        <f t="shared" si="4"/>
        <v>#DIV/0!</v>
      </c>
      <c r="K47" s="208" t="str">
        <f t="shared" si="5"/>
        <v>#DIV/0!</v>
      </c>
    </row>
    <row r="48" ht="20.25" customHeight="1">
      <c r="A48" s="38"/>
      <c r="B48" s="4">
        <v>6176.0</v>
      </c>
      <c r="C48" s="5" t="s">
        <v>58</v>
      </c>
      <c r="D48" s="7"/>
      <c r="E48" s="7"/>
      <c r="F48" s="7"/>
      <c r="G48" s="7"/>
      <c r="H48" s="208" t="str">
        <f t="shared" si="2"/>
        <v>#DIV/0!</v>
      </c>
      <c r="I48" s="208" t="str">
        <f t="shared" si="3"/>
        <v>#DIV/0!</v>
      </c>
      <c r="J48" s="208" t="str">
        <f t="shared" si="4"/>
        <v>#DIV/0!</v>
      </c>
      <c r="K48" s="208" t="str">
        <f t="shared" si="5"/>
        <v>#DIV/0!</v>
      </c>
    </row>
    <row r="49" ht="20.25" customHeight="1">
      <c r="A49" s="38"/>
      <c r="B49" s="4">
        <v>6177.0</v>
      </c>
      <c r="C49" s="5" t="s">
        <v>59</v>
      </c>
      <c r="D49" s="7"/>
      <c r="E49" s="7"/>
      <c r="F49" s="7"/>
      <c r="G49" s="7"/>
      <c r="H49" s="208" t="str">
        <f t="shared" si="2"/>
        <v>#DIV/0!</v>
      </c>
      <c r="I49" s="208" t="str">
        <f t="shared" si="3"/>
        <v>#DIV/0!</v>
      </c>
      <c r="J49" s="208" t="str">
        <f t="shared" si="4"/>
        <v>#DIV/0!</v>
      </c>
      <c r="K49" s="208" t="str">
        <f t="shared" si="5"/>
        <v>#DIV/0!</v>
      </c>
    </row>
    <row r="50" ht="20.25" customHeight="1">
      <c r="A50" s="38"/>
      <c r="B50" s="4">
        <v>6178.0</v>
      </c>
      <c r="C50" s="5" t="s">
        <v>60</v>
      </c>
      <c r="D50" s="7"/>
      <c r="E50" s="7"/>
      <c r="F50" s="7"/>
      <c r="G50" s="7"/>
      <c r="H50" s="208" t="str">
        <f t="shared" si="2"/>
        <v>#DIV/0!</v>
      </c>
      <c r="I50" s="208" t="str">
        <f t="shared" si="3"/>
        <v>#DIV/0!</v>
      </c>
      <c r="J50" s="208" t="str">
        <f t="shared" si="4"/>
        <v>#DIV/0!</v>
      </c>
      <c r="K50" s="208" t="str">
        <f t="shared" si="5"/>
        <v>#DIV/0!</v>
      </c>
    </row>
    <row r="51" ht="20.25" customHeight="1">
      <c r="A51" s="38"/>
      <c r="B51" s="4">
        <v>6179.0</v>
      </c>
      <c r="C51" s="5" t="s">
        <v>61</v>
      </c>
      <c r="D51" s="7"/>
      <c r="E51" s="7"/>
      <c r="F51" s="7"/>
      <c r="G51" s="7"/>
      <c r="H51" s="208" t="str">
        <f t="shared" si="2"/>
        <v>#DIV/0!</v>
      </c>
      <c r="I51" s="208" t="str">
        <f t="shared" si="3"/>
        <v>#DIV/0!</v>
      </c>
      <c r="J51" s="208" t="str">
        <f t="shared" si="4"/>
        <v>#DIV/0!</v>
      </c>
      <c r="K51" s="208" t="str">
        <f t="shared" si="5"/>
        <v>#DIV/0!</v>
      </c>
    </row>
    <row r="52" ht="20.25" customHeight="1">
      <c r="A52" s="38"/>
      <c r="B52" s="24" t="s">
        <v>62</v>
      </c>
      <c r="C52" s="25"/>
      <c r="D52" s="26">
        <f t="shared" ref="D52:G52" si="7">SUM(D24:D51)</f>
        <v>0</v>
      </c>
      <c r="E52" s="26">
        <f t="shared" si="7"/>
        <v>0</v>
      </c>
      <c r="F52" s="26">
        <f t="shared" si="7"/>
        <v>0</v>
      </c>
      <c r="G52" s="26">
        <f t="shared" si="7"/>
        <v>0</v>
      </c>
      <c r="H52" s="209" t="str">
        <f t="shared" si="2"/>
        <v>#DIV/0!</v>
      </c>
      <c r="I52" s="209" t="str">
        <f t="shared" si="3"/>
        <v>#DIV/0!</v>
      </c>
      <c r="J52" s="209" t="str">
        <f t="shared" si="4"/>
        <v>#DIV/0!</v>
      </c>
      <c r="K52" s="209" t="str">
        <f t="shared" si="5"/>
        <v>#DIV/0!</v>
      </c>
    </row>
    <row r="53" ht="20.25" customHeight="1">
      <c r="A53" s="38"/>
      <c r="B53" s="4">
        <v>6200.0</v>
      </c>
      <c r="C53" s="5" t="s">
        <v>63</v>
      </c>
      <c r="D53" s="7"/>
      <c r="E53" s="7"/>
      <c r="F53" s="7"/>
      <c r="G53" s="7"/>
      <c r="H53" s="208" t="str">
        <f t="shared" si="2"/>
        <v>#DIV/0!</v>
      </c>
      <c r="I53" s="208" t="str">
        <f t="shared" si="3"/>
        <v>#DIV/0!</v>
      </c>
      <c r="J53" s="208" t="str">
        <f t="shared" si="4"/>
        <v>#DIV/0!</v>
      </c>
      <c r="K53" s="208" t="str">
        <f t="shared" si="5"/>
        <v>#DIV/0!</v>
      </c>
    </row>
    <row r="54" ht="20.25" customHeight="1">
      <c r="A54" s="38"/>
      <c r="B54" s="4">
        <v>6201.0</v>
      </c>
      <c r="C54" s="5" t="s">
        <v>64</v>
      </c>
      <c r="D54" s="7"/>
      <c r="E54" s="7"/>
      <c r="F54" s="7"/>
      <c r="G54" s="7"/>
      <c r="H54" s="208" t="str">
        <f t="shared" si="2"/>
        <v>#DIV/0!</v>
      </c>
      <c r="I54" s="208" t="str">
        <f t="shared" si="3"/>
        <v>#DIV/0!</v>
      </c>
      <c r="J54" s="208" t="str">
        <f t="shared" si="4"/>
        <v>#DIV/0!</v>
      </c>
      <c r="K54" s="208" t="str">
        <f t="shared" si="5"/>
        <v>#DIV/0!</v>
      </c>
    </row>
    <row r="55" ht="20.25" customHeight="1">
      <c r="A55" s="38"/>
      <c r="B55" s="4">
        <v>6202.0</v>
      </c>
      <c r="C55" s="5" t="s">
        <v>65</v>
      </c>
      <c r="D55" s="7"/>
      <c r="E55" s="7"/>
      <c r="F55" s="7"/>
      <c r="G55" s="7"/>
      <c r="H55" s="208" t="str">
        <f t="shared" si="2"/>
        <v>#DIV/0!</v>
      </c>
      <c r="I55" s="208" t="str">
        <f t="shared" si="3"/>
        <v>#DIV/0!</v>
      </c>
      <c r="J55" s="208" t="str">
        <f t="shared" si="4"/>
        <v>#DIV/0!</v>
      </c>
      <c r="K55" s="208" t="str">
        <f t="shared" si="5"/>
        <v>#DIV/0!</v>
      </c>
    </row>
    <row r="56" ht="20.25" customHeight="1">
      <c r="A56" s="38"/>
      <c r="B56" s="4">
        <v>6203.0</v>
      </c>
      <c r="C56" s="5" t="s">
        <v>66</v>
      </c>
      <c r="D56" s="7"/>
      <c r="E56" s="7"/>
      <c r="F56" s="7"/>
      <c r="G56" s="7"/>
      <c r="H56" s="208" t="str">
        <f t="shared" si="2"/>
        <v>#DIV/0!</v>
      </c>
      <c r="I56" s="208" t="str">
        <f t="shared" si="3"/>
        <v>#DIV/0!</v>
      </c>
      <c r="J56" s="208" t="str">
        <f t="shared" si="4"/>
        <v>#DIV/0!</v>
      </c>
      <c r="K56" s="208" t="str">
        <f t="shared" si="5"/>
        <v>#DIV/0!</v>
      </c>
    </row>
    <row r="57" ht="20.25" customHeight="1">
      <c r="A57" s="38"/>
      <c r="B57" s="4">
        <v>6204.0</v>
      </c>
      <c r="C57" s="5" t="s">
        <v>67</v>
      </c>
      <c r="D57" s="7"/>
      <c r="E57" s="7"/>
      <c r="F57" s="7"/>
      <c r="G57" s="7"/>
      <c r="H57" s="208" t="str">
        <f t="shared" si="2"/>
        <v>#DIV/0!</v>
      </c>
      <c r="I57" s="208" t="str">
        <f t="shared" si="3"/>
        <v>#DIV/0!</v>
      </c>
      <c r="J57" s="208" t="str">
        <f t="shared" si="4"/>
        <v>#DIV/0!</v>
      </c>
      <c r="K57" s="208" t="str">
        <f t="shared" si="5"/>
        <v>#DIV/0!</v>
      </c>
    </row>
    <row r="58" ht="20.25" customHeight="1">
      <c r="A58" s="38"/>
      <c r="B58" s="4">
        <v>6271.0</v>
      </c>
      <c r="C58" s="5" t="s">
        <v>68</v>
      </c>
      <c r="D58" s="7"/>
      <c r="E58" s="7"/>
      <c r="F58" s="7"/>
      <c r="G58" s="7"/>
      <c r="H58" s="208" t="str">
        <f t="shared" si="2"/>
        <v>#DIV/0!</v>
      </c>
      <c r="I58" s="208" t="str">
        <f t="shared" si="3"/>
        <v>#DIV/0!</v>
      </c>
      <c r="J58" s="208" t="str">
        <f t="shared" si="4"/>
        <v>#DIV/0!</v>
      </c>
      <c r="K58" s="208" t="str">
        <f t="shared" si="5"/>
        <v>#DIV/0!</v>
      </c>
    </row>
    <row r="59" ht="20.25" customHeight="1">
      <c r="A59" s="38"/>
      <c r="B59" s="4">
        <v>6272.0</v>
      </c>
      <c r="C59" s="5" t="s">
        <v>69</v>
      </c>
      <c r="D59" s="7"/>
      <c r="E59" s="7"/>
      <c r="F59" s="7"/>
      <c r="G59" s="7"/>
      <c r="H59" s="208" t="str">
        <f t="shared" si="2"/>
        <v>#DIV/0!</v>
      </c>
      <c r="I59" s="208" t="str">
        <f t="shared" si="3"/>
        <v>#DIV/0!</v>
      </c>
      <c r="J59" s="208" t="str">
        <f t="shared" si="4"/>
        <v>#DIV/0!</v>
      </c>
      <c r="K59" s="208" t="str">
        <f t="shared" si="5"/>
        <v>#DIV/0!</v>
      </c>
    </row>
    <row r="60" ht="20.25" customHeight="1">
      <c r="A60" s="38"/>
      <c r="B60" s="4">
        <v>6273.0</v>
      </c>
      <c r="C60" s="5" t="s">
        <v>70</v>
      </c>
      <c r="D60" s="7"/>
      <c r="E60" s="7"/>
      <c r="F60" s="7"/>
      <c r="G60" s="7"/>
      <c r="H60" s="208" t="str">
        <f t="shared" si="2"/>
        <v>#DIV/0!</v>
      </c>
      <c r="I60" s="208" t="str">
        <f t="shared" si="3"/>
        <v>#DIV/0!</v>
      </c>
      <c r="J60" s="208" t="str">
        <f t="shared" si="4"/>
        <v>#DIV/0!</v>
      </c>
      <c r="K60" s="208" t="str">
        <f t="shared" si="5"/>
        <v>#DIV/0!</v>
      </c>
    </row>
    <row r="61" ht="20.25" customHeight="1">
      <c r="A61" s="3"/>
      <c r="B61" s="4">
        <v>6274.0</v>
      </c>
      <c r="C61" s="5" t="s">
        <v>71</v>
      </c>
      <c r="D61" s="7"/>
      <c r="E61" s="7"/>
      <c r="F61" s="7"/>
      <c r="G61" s="7"/>
      <c r="H61" s="208" t="str">
        <f t="shared" si="2"/>
        <v>#DIV/0!</v>
      </c>
      <c r="I61" s="208" t="str">
        <f t="shared" si="3"/>
        <v>#DIV/0!</v>
      </c>
      <c r="J61" s="208" t="str">
        <f t="shared" si="4"/>
        <v>#DIV/0!</v>
      </c>
      <c r="K61" s="208" t="str">
        <f t="shared" si="5"/>
        <v>#DIV/0!</v>
      </c>
    </row>
    <row r="62" ht="20.25" customHeight="1">
      <c r="A62" s="98"/>
      <c r="B62" s="24" t="s">
        <v>72</v>
      </c>
      <c r="C62" s="25"/>
      <c r="D62" s="26">
        <f t="shared" ref="D62:G62" si="8">SUM(D53:D61)</f>
        <v>0</v>
      </c>
      <c r="E62" s="26">
        <f t="shared" si="8"/>
        <v>0</v>
      </c>
      <c r="F62" s="26">
        <f t="shared" si="8"/>
        <v>0</v>
      </c>
      <c r="G62" s="26">
        <f t="shared" si="8"/>
        <v>0</v>
      </c>
      <c r="H62" s="209" t="str">
        <f t="shared" si="2"/>
        <v>#DIV/0!</v>
      </c>
      <c r="I62" s="209" t="str">
        <f t="shared" si="3"/>
        <v>#DIV/0!</v>
      </c>
      <c r="J62" s="209" t="str">
        <f t="shared" si="4"/>
        <v>#DIV/0!</v>
      </c>
      <c r="K62" s="209" t="str">
        <f t="shared" si="5"/>
        <v>#DIV/0!</v>
      </c>
    </row>
    <row r="63" ht="31.5" customHeight="1">
      <c r="A63" s="65" t="s">
        <v>73</v>
      </c>
      <c r="B63" s="64"/>
      <c r="C63" s="25"/>
      <c r="D63" s="39">
        <f t="shared" ref="D63:G63" si="9">D52+D62</f>
        <v>0</v>
      </c>
      <c r="E63" s="39">
        <f t="shared" si="9"/>
        <v>0</v>
      </c>
      <c r="F63" s="39">
        <f t="shared" si="9"/>
        <v>0</v>
      </c>
      <c r="G63" s="39">
        <f t="shared" si="9"/>
        <v>0</v>
      </c>
      <c r="H63" s="209" t="str">
        <f t="shared" si="2"/>
        <v>#DIV/0!</v>
      </c>
      <c r="I63" s="209" t="str">
        <f t="shared" si="3"/>
        <v>#DIV/0!</v>
      </c>
      <c r="J63" s="209" t="str">
        <f t="shared" si="4"/>
        <v>#DIV/0!</v>
      </c>
      <c r="K63" s="209" t="str">
        <f t="shared" si="5"/>
        <v>#DIV/0!</v>
      </c>
    </row>
    <row r="64" ht="31.5" customHeight="1">
      <c r="A64" s="65" t="s">
        <v>88</v>
      </c>
      <c r="B64" s="64"/>
      <c r="C64" s="25"/>
      <c r="D64" s="39">
        <f t="shared" ref="D64:G64" si="10">D23+D63</f>
        <v>0</v>
      </c>
      <c r="E64" s="39">
        <f t="shared" si="10"/>
        <v>0</v>
      </c>
      <c r="F64" s="39">
        <f t="shared" si="10"/>
        <v>0</v>
      </c>
      <c r="G64" s="39">
        <f t="shared" si="10"/>
        <v>0</v>
      </c>
      <c r="H64" s="112" t="str">
        <f t="shared" si="2"/>
        <v>#DIV/0!</v>
      </c>
      <c r="I64" s="112" t="str">
        <f t="shared" si="3"/>
        <v>#DIV/0!</v>
      </c>
      <c r="J64" s="112" t="str">
        <f t="shared" si="4"/>
        <v>#DIV/0!</v>
      </c>
      <c r="K64" s="112" t="str">
        <f t="shared" si="5"/>
        <v>#DIV/0!</v>
      </c>
    </row>
    <row r="65" ht="15.75" customHeight="1"/>
    <row r="66" ht="15.75" customHeight="1"/>
    <row r="67" ht="15.75" customHeight="1"/>
    <row r="68" ht="15.75" customHeight="1"/>
  </sheetData>
  <mergeCells count="18">
    <mergeCell ref="H5:H6"/>
    <mergeCell ref="I5:I6"/>
    <mergeCell ref="J5:J6"/>
    <mergeCell ref="K5:K6"/>
    <mergeCell ref="A7:A22"/>
    <mergeCell ref="A23:C23"/>
    <mergeCell ref="A24:A61"/>
    <mergeCell ref="B52:C52"/>
    <mergeCell ref="B62:C62"/>
    <mergeCell ref="A63:C63"/>
    <mergeCell ref="A64:C64"/>
    <mergeCell ref="A5:A6"/>
    <mergeCell ref="B5:B6"/>
    <mergeCell ref="C5:C6"/>
    <mergeCell ref="D5:D6"/>
    <mergeCell ref="E5:E6"/>
    <mergeCell ref="F5:F6"/>
    <mergeCell ref="G5:G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3.86"/>
    <col customWidth="1" min="2" max="2" width="10.71"/>
    <col customWidth="1" min="3" max="3" width="27.0"/>
    <col customWidth="1" min="4" max="8" width="16.14"/>
    <col customWidth="1" min="9" max="12" width="8.71"/>
    <col customWidth="1" min="13" max="13" width="8.57"/>
    <col customWidth="1" min="14" max="26" width="8.71"/>
  </cols>
  <sheetData>
    <row r="1">
      <c r="A1" s="66" t="s">
        <v>89</v>
      </c>
    </row>
    <row r="2">
      <c r="A2" s="30" t="s">
        <v>162</v>
      </c>
    </row>
    <row r="3">
      <c r="A3" s="31" t="s">
        <v>91</v>
      </c>
    </row>
    <row r="5" ht="46.5" customHeight="1">
      <c r="A5" s="32" t="s">
        <v>78</v>
      </c>
      <c r="B5" s="32" t="s">
        <v>0</v>
      </c>
      <c r="C5" s="32" t="s">
        <v>1</v>
      </c>
      <c r="D5" s="210" t="s">
        <v>163</v>
      </c>
      <c r="E5" s="210" t="s">
        <v>164</v>
      </c>
      <c r="F5" s="210" t="s">
        <v>165</v>
      </c>
      <c r="G5" s="210" t="s">
        <v>166</v>
      </c>
      <c r="H5" s="210" t="s">
        <v>106</v>
      </c>
      <c r="I5" s="210" t="s">
        <v>167</v>
      </c>
      <c r="J5" s="210" t="s">
        <v>168</v>
      </c>
      <c r="K5" s="210" t="s">
        <v>169</v>
      </c>
      <c r="L5" s="210" t="s">
        <v>170</v>
      </c>
      <c r="M5" s="210" t="s">
        <v>171</v>
      </c>
    </row>
    <row r="6" ht="15.0" hidden="1" customHeight="1">
      <c r="A6" s="34" t="s">
        <v>84</v>
      </c>
      <c r="B6" s="4">
        <v>3003.0</v>
      </c>
      <c r="C6" s="5" t="s">
        <v>13</v>
      </c>
      <c r="D6" s="35">
        <v>8.0</v>
      </c>
      <c r="E6" s="35">
        <v>1627.0</v>
      </c>
      <c r="F6" s="35">
        <v>1113.0</v>
      </c>
      <c r="G6" s="35">
        <v>58.0</v>
      </c>
      <c r="H6" s="35">
        <f t="shared" ref="H6:H21" si="1">sum(D6:G6)</f>
        <v>2806</v>
      </c>
      <c r="I6" s="36">
        <f t="shared" ref="I6:I64" si="2">D6/H6</f>
        <v>0.0028510335</v>
      </c>
      <c r="J6" s="36">
        <f t="shared" ref="J6:J64" si="3">E6/H6</f>
        <v>0.579828938</v>
      </c>
      <c r="K6" s="36">
        <f t="shared" ref="K6:K17" si="4">F6/H6</f>
        <v>0.3966500356</v>
      </c>
      <c r="L6" s="36">
        <f t="shared" ref="L6:L17" si="5">G6/H6</f>
        <v>0.02066999287</v>
      </c>
      <c r="M6" s="36">
        <f t="shared" ref="M6:M17" si="6">SUM(I6:L6)</f>
        <v>1</v>
      </c>
    </row>
    <row r="7" hidden="1">
      <c r="A7" s="38"/>
      <c r="B7" s="4">
        <v>3005.0</v>
      </c>
      <c r="C7" s="5" t="s">
        <v>19</v>
      </c>
      <c r="D7" s="35">
        <v>4.0</v>
      </c>
      <c r="E7" s="35">
        <v>1067.0</v>
      </c>
      <c r="F7" s="35">
        <v>1246.0</v>
      </c>
      <c r="G7" s="35">
        <v>696.0</v>
      </c>
      <c r="H7" s="35">
        <f t="shared" si="1"/>
        <v>3013</v>
      </c>
      <c r="I7" s="36">
        <f t="shared" si="2"/>
        <v>0.001327580485</v>
      </c>
      <c r="J7" s="36">
        <f t="shared" si="3"/>
        <v>0.3541320943</v>
      </c>
      <c r="K7" s="36">
        <f t="shared" si="4"/>
        <v>0.4135413209</v>
      </c>
      <c r="L7" s="36">
        <f t="shared" si="5"/>
        <v>0.2309990043</v>
      </c>
      <c r="M7" s="36">
        <f t="shared" si="6"/>
        <v>1</v>
      </c>
    </row>
    <row r="8" hidden="1">
      <c r="A8" s="38"/>
      <c r="B8" s="4">
        <v>3006.0</v>
      </c>
      <c r="C8" s="5" t="s">
        <v>20</v>
      </c>
      <c r="D8" s="35">
        <v>30.0</v>
      </c>
      <c r="E8" s="35">
        <v>905.0</v>
      </c>
      <c r="F8" s="35">
        <v>550.0</v>
      </c>
      <c r="G8" s="35">
        <v>137.0</v>
      </c>
      <c r="H8" s="35">
        <f t="shared" si="1"/>
        <v>1622</v>
      </c>
      <c r="I8" s="36">
        <f t="shared" si="2"/>
        <v>0.01849568434</v>
      </c>
      <c r="J8" s="36">
        <f t="shared" si="3"/>
        <v>0.5579531443</v>
      </c>
      <c r="K8" s="36">
        <f t="shared" si="4"/>
        <v>0.3390875462</v>
      </c>
      <c r="L8" s="36">
        <f t="shared" si="5"/>
        <v>0.08446362515</v>
      </c>
      <c r="M8" s="36">
        <f t="shared" si="6"/>
        <v>1</v>
      </c>
    </row>
    <row r="9" hidden="1">
      <c r="A9" s="38"/>
      <c r="B9" s="4">
        <v>3012.0</v>
      </c>
      <c r="C9" s="5" t="s">
        <v>21</v>
      </c>
      <c r="D9" s="35">
        <v>247.0</v>
      </c>
      <c r="E9" s="35">
        <v>20949.0</v>
      </c>
      <c r="F9" s="35">
        <v>4702.0</v>
      </c>
      <c r="G9" s="35">
        <v>208.0</v>
      </c>
      <c r="H9" s="35">
        <f t="shared" si="1"/>
        <v>26106</v>
      </c>
      <c r="I9" s="36">
        <f t="shared" si="2"/>
        <v>0.009461426492</v>
      </c>
      <c r="J9" s="36">
        <f t="shared" si="3"/>
        <v>0.8024592048</v>
      </c>
      <c r="K9" s="36">
        <f t="shared" si="4"/>
        <v>0.1801118517</v>
      </c>
      <c r="L9" s="36">
        <f t="shared" si="5"/>
        <v>0.007967517046</v>
      </c>
      <c r="M9" s="36">
        <f t="shared" si="6"/>
        <v>1</v>
      </c>
    </row>
    <row r="10" hidden="1">
      <c r="A10" s="38"/>
      <c r="B10" s="4">
        <v>3023.0</v>
      </c>
      <c r="C10" s="5" t="s">
        <v>85</v>
      </c>
      <c r="D10" s="35">
        <v>0.0</v>
      </c>
      <c r="E10" s="35">
        <v>7.0</v>
      </c>
      <c r="F10" s="35">
        <v>24.0</v>
      </c>
      <c r="G10" s="35">
        <v>1.0</v>
      </c>
      <c r="H10" s="35">
        <f t="shared" si="1"/>
        <v>32</v>
      </c>
      <c r="I10" s="36">
        <f t="shared" si="2"/>
        <v>0</v>
      </c>
      <c r="J10" s="36">
        <f t="shared" si="3"/>
        <v>0.21875</v>
      </c>
      <c r="K10" s="36">
        <f t="shared" si="4"/>
        <v>0.75</v>
      </c>
      <c r="L10" s="36">
        <f t="shared" si="5"/>
        <v>0.03125</v>
      </c>
      <c r="M10" s="36">
        <f t="shared" si="6"/>
        <v>1</v>
      </c>
    </row>
    <row r="11" hidden="1">
      <c r="A11" s="38"/>
      <c r="B11" s="4">
        <v>3024.0</v>
      </c>
      <c r="C11" s="5" t="s">
        <v>22</v>
      </c>
      <c r="D11" s="35">
        <v>0.0</v>
      </c>
      <c r="E11" s="35">
        <v>757.0</v>
      </c>
      <c r="F11" s="35">
        <v>1881.0</v>
      </c>
      <c r="G11" s="35">
        <v>1019.0</v>
      </c>
      <c r="H11" s="35">
        <f t="shared" si="1"/>
        <v>3657</v>
      </c>
      <c r="I11" s="36">
        <f t="shared" si="2"/>
        <v>0</v>
      </c>
      <c r="J11" s="36">
        <f t="shared" si="3"/>
        <v>0.2070002734</v>
      </c>
      <c r="K11" s="36">
        <f t="shared" si="4"/>
        <v>0.5143560295</v>
      </c>
      <c r="L11" s="36">
        <f t="shared" si="5"/>
        <v>0.278643697</v>
      </c>
      <c r="M11" s="36">
        <f t="shared" si="6"/>
        <v>1</v>
      </c>
    </row>
    <row r="12" hidden="1">
      <c r="A12" s="38"/>
      <c r="B12" s="4">
        <v>3038.0</v>
      </c>
      <c r="C12" s="5" t="s">
        <v>23</v>
      </c>
      <c r="D12" s="35">
        <v>0.0</v>
      </c>
      <c r="E12" s="35">
        <v>54.0</v>
      </c>
      <c r="F12" s="35">
        <v>114.0</v>
      </c>
      <c r="G12" s="35">
        <v>32.0</v>
      </c>
      <c r="H12" s="35">
        <f t="shared" si="1"/>
        <v>200</v>
      </c>
      <c r="I12" s="36">
        <f t="shared" si="2"/>
        <v>0</v>
      </c>
      <c r="J12" s="36">
        <f t="shared" si="3"/>
        <v>0.27</v>
      </c>
      <c r="K12" s="36">
        <f t="shared" si="4"/>
        <v>0.57</v>
      </c>
      <c r="L12" s="36">
        <f t="shared" si="5"/>
        <v>0.16</v>
      </c>
      <c r="M12" s="36">
        <f t="shared" si="6"/>
        <v>1</v>
      </c>
    </row>
    <row r="13" hidden="1">
      <c r="A13" s="38"/>
      <c r="B13" s="4">
        <v>4002.0</v>
      </c>
      <c r="C13" s="5" t="s">
        <v>24</v>
      </c>
      <c r="D13" s="35">
        <v>3.0</v>
      </c>
      <c r="E13" s="35">
        <v>24.0</v>
      </c>
      <c r="F13" s="35">
        <v>35.0</v>
      </c>
      <c r="G13" s="35">
        <v>1.0</v>
      </c>
      <c r="H13" s="35">
        <f t="shared" si="1"/>
        <v>63</v>
      </c>
      <c r="I13" s="36">
        <f t="shared" si="2"/>
        <v>0.04761904762</v>
      </c>
      <c r="J13" s="36">
        <f t="shared" si="3"/>
        <v>0.380952381</v>
      </c>
      <c r="K13" s="36">
        <f t="shared" si="4"/>
        <v>0.5555555556</v>
      </c>
      <c r="L13" s="36">
        <f t="shared" si="5"/>
        <v>0.01587301587</v>
      </c>
      <c r="M13" s="36">
        <f t="shared" si="6"/>
        <v>1</v>
      </c>
    </row>
    <row r="14" hidden="1">
      <c r="A14" s="38"/>
      <c r="B14" s="4">
        <v>4007.0</v>
      </c>
      <c r="C14" s="5" t="s">
        <v>25</v>
      </c>
      <c r="D14" s="35">
        <v>115.0</v>
      </c>
      <c r="E14" s="35">
        <v>1082.0</v>
      </c>
      <c r="F14" s="35">
        <v>948.0</v>
      </c>
      <c r="G14" s="35">
        <v>223.0</v>
      </c>
      <c r="H14" s="35">
        <f t="shared" si="1"/>
        <v>2368</v>
      </c>
      <c r="I14" s="36">
        <f t="shared" si="2"/>
        <v>0.04856418919</v>
      </c>
      <c r="J14" s="36">
        <f t="shared" si="3"/>
        <v>0.4569256757</v>
      </c>
      <c r="K14" s="36">
        <f t="shared" si="4"/>
        <v>0.4003378378</v>
      </c>
      <c r="L14" s="36">
        <f t="shared" si="5"/>
        <v>0.0941722973</v>
      </c>
      <c r="M14" s="36">
        <f t="shared" si="6"/>
        <v>1</v>
      </c>
    </row>
    <row r="15" hidden="1">
      <c r="A15" s="38"/>
      <c r="B15" s="4">
        <v>4008.0</v>
      </c>
      <c r="C15" s="5" t="s">
        <v>26</v>
      </c>
      <c r="D15" s="35">
        <v>0.0</v>
      </c>
      <c r="E15" s="35">
        <v>108.0</v>
      </c>
      <c r="F15" s="35">
        <v>125.0</v>
      </c>
      <c r="G15" s="35">
        <v>6.0</v>
      </c>
      <c r="H15" s="35">
        <f t="shared" si="1"/>
        <v>239</v>
      </c>
      <c r="I15" s="36">
        <f t="shared" si="2"/>
        <v>0</v>
      </c>
      <c r="J15" s="36">
        <f t="shared" si="3"/>
        <v>0.4518828452</v>
      </c>
      <c r="K15" s="36">
        <f t="shared" si="4"/>
        <v>0.5230125523</v>
      </c>
      <c r="L15" s="36">
        <f t="shared" si="5"/>
        <v>0.02510460251</v>
      </c>
      <c r="M15" s="36">
        <f t="shared" si="6"/>
        <v>1</v>
      </c>
    </row>
    <row r="16" hidden="1">
      <c r="A16" s="38"/>
      <c r="B16" s="4">
        <v>4016.0</v>
      </c>
      <c r="C16" s="5" t="s">
        <v>27</v>
      </c>
      <c r="D16" s="35">
        <v>0.0</v>
      </c>
      <c r="E16" s="35">
        <v>560.0</v>
      </c>
      <c r="F16" s="35">
        <v>631.0</v>
      </c>
      <c r="G16" s="35">
        <v>95.0</v>
      </c>
      <c r="H16" s="35">
        <f t="shared" si="1"/>
        <v>1286</v>
      </c>
      <c r="I16" s="36">
        <f t="shared" si="2"/>
        <v>0</v>
      </c>
      <c r="J16" s="36">
        <f t="shared" si="3"/>
        <v>0.4354587869</v>
      </c>
      <c r="K16" s="36">
        <f t="shared" si="4"/>
        <v>0.4906687403</v>
      </c>
      <c r="L16" s="36">
        <f t="shared" si="5"/>
        <v>0.07387247278</v>
      </c>
      <c r="M16" s="36">
        <f t="shared" si="6"/>
        <v>1</v>
      </c>
    </row>
    <row r="17" hidden="1">
      <c r="A17" s="38"/>
      <c r="B17" s="4">
        <v>4020.0</v>
      </c>
      <c r="C17" s="5" t="s">
        <v>28</v>
      </c>
      <c r="D17" s="35">
        <v>0.0</v>
      </c>
      <c r="E17" s="35">
        <v>610.0</v>
      </c>
      <c r="F17" s="35">
        <v>1051.0</v>
      </c>
      <c r="G17" s="35">
        <v>85.0</v>
      </c>
      <c r="H17" s="35">
        <f t="shared" si="1"/>
        <v>1746</v>
      </c>
      <c r="I17" s="36">
        <f t="shared" si="2"/>
        <v>0</v>
      </c>
      <c r="J17" s="36">
        <f t="shared" si="3"/>
        <v>0.3493699885</v>
      </c>
      <c r="K17" s="36">
        <f t="shared" si="4"/>
        <v>0.6019473081</v>
      </c>
      <c r="L17" s="36">
        <f t="shared" si="5"/>
        <v>0.04868270332</v>
      </c>
      <c r="M17" s="36">
        <f t="shared" si="6"/>
        <v>1</v>
      </c>
    </row>
    <row r="18" hidden="1">
      <c r="A18" s="38"/>
      <c r="B18" s="4">
        <v>4023.0</v>
      </c>
      <c r="C18" s="5" t="s">
        <v>29</v>
      </c>
      <c r="D18" s="35">
        <v>0.0</v>
      </c>
      <c r="E18" s="35">
        <v>120.0</v>
      </c>
      <c r="F18" s="35">
        <v>72.0</v>
      </c>
      <c r="G18" s="35">
        <v>21.0</v>
      </c>
      <c r="H18" s="35">
        <f t="shared" si="1"/>
        <v>213</v>
      </c>
      <c r="I18" s="36">
        <f t="shared" si="2"/>
        <v>0</v>
      </c>
      <c r="J18" s="36">
        <f t="shared" si="3"/>
        <v>0.5633802817</v>
      </c>
      <c r="K18" s="36"/>
      <c r="L18" s="36"/>
      <c r="M18" s="36"/>
    </row>
    <row r="19" hidden="1">
      <c r="A19" s="38"/>
      <c r="B19" s="4">
        <v>4024.0</v>
      </c>
      <c r="C19" s="5" t="s">
        <v>30</v>
      </c>
      <c r="D19" s="35">
        <v>0.0</v>
      </c>
      <c r="E19" s="35">
        <v>142.0</v>
      </c>
      <c r="F19" s="35">
        <v>60.0</v>
      </c>
      <c r="G19" s="35">
        <v>4.0</v>
      </c>
      <c r="H19" s="35">
        <f t="shared" si="1"/>
        <v>206</v>
      </c>
      <c r="I19" s="36">
        <f t="shared" si="2"/>
        <v>0</v>
      </c>
      <c r="J19" s="36">
        <f t="shared" si="3"/>
        <v>0.6893203883</v>
      </c>
      <c r="K19" s="36">
        <f t="shared" ref="K19:K64" si="7">F19/H19</f>
        <v>0.2912621359</v>
      </c>
      <c r="L19" s="36">
        <f t="shared" ref="L19:L64" si="8">G19/H19</f>
        <v>0.01941747573</v>
      </c>
      <c r="M19" s="36">
        <f t="shared" ref="M19:M64" si="9">SUM(I19:L19)</f>
        <v>1</v>
      </c>
    </row>
    <row r="20" hidden="1">
      <c r="A20" s="38"/>
      <c r="B20" s="4">
        <v>4033.0</v>
      </c>
      <c r="C20" s="5" t="s">
        <v>31</v>
      </c>
      <c r="D20" s="35">
        <v>0.0</v>
      </c>
      <c r="E20" s="35">
        <v>625.0</v>
      </c>
      <c r="F20" s="35">
        <v>275.0</v>
      </c>
      <c r="G20" s="35">
        <v>25.0</v>
      </c>
      <c r="H20" s="35">
        <f t="shared" si="1"/>
        <v>925</v>
      </c>
      <c r="I20" s="36">
        <f t="shared" si="2"/>
        <v>0</v>
      </c>
      <c r="J20" s="36">
        <f t="shared" si="3"/>
        <v>0.6756756757</v>
      </c>
      <c r="K20" s="36">
        <f t="shared" si="7"/>
        <v>0.2972972973</v>
      </c>
      <c r="L20" s="36">
        <f t="shared" si="8"/>
        <v>0.02702702703</v>
      </c>
      <c r="M20" s="36">
        <f t="shared" si="9"/>
        <v>1</v>
      </c>
    </row>
    <row r="21" hidden="1">
      <c r="A21" s="38"/>
      <c r="B21" s="4">
        <v>4071.0</v>
      </c>
      <c r="C21" s="5" t="s">
        <v>32</v>
      </c>
      <c r="D21" s="35">
        <v>0.0</v>
      </c>
      <c r="E21" s="35">
        <v>155.0</v>
      </c>
      <c r="F21" s="35">
        <v>230.0</v>
      </c>
      <c r="G21" s="35">
        <v>10.0</v>
      </c>
      <c r="H21" s="35">
        <f t="shared" si="1"/>
        <v>395</v>
      </c>
      <c r="I21" s="36">
        <f t="shared" si="2"/>
        <v>0</v>
      </c>
      <c r="J21" s="36">
        <f t="shared" si="3"/>
        <v>0.3924050633</v>
      </c>
      <c r="K21" s="36">
        <f t="shared" si="7"/>
        <v>0.582278481</v>
      </c>
      <c r="L21" s="36">
        <f t="shared" si="8"/>
        <v>0.0253164557</v>
      </c>
      <c r="M21" s="36">
        <f t="shared" si="9"/>
        <v>1</v>
      </c>
    </row>
    <row r="22" ht="25.5" hidden="1" customHeight="1">
      <c r="A22" s="78" t="s">
        <v>86</v>
      </c>
      <c r="B22" s="64"/>
      <c r="C22" s="25"/>
      <c r="D22" s="56">
        <f t="shared" ref="D22:H22" si="10">SUM(D6:D21)</f>
        <v>407</v>
      </c>
      <c r="E22" s="56">
        <f t="shared" si="10"/>
        <v>28792</v>
      </c>
      <c r="F22" s="56">
        <f t="shared" si="10"/>
        <v>13057</v>
      </c>
      <c r="G22" s="56">
        <f t="shared" si="10"/>
        <v>2621</v>
      </c>
      <c r="H22" s="56">
        <f t="shared" si="10"/>
        <v>44877</v>
      </c>
      <c r="I22" s="40">
        <f t="shared" si="2"/>
        <v>0.009069233683</v>
      </c>
      <c r="J22" s="40">
        <f t="shared" si="3"/>
        <v>0.6415758629</v>
      </c>
      <c r="K22" s="40">
        <f t="shared" si="7"/>
        <v>0.2909508211</v>
      </c>
      <c r="L22" s="40">
        <f t="shared" si="8"/>
        <v>0.05840408227</v>
      </c>
      <c r="M22" s="40">
        <f t="shared" si="9"/>
        <v>1</v>
      </c>
    </row>
    <row r="23" ht="15.0" customHeight="1">
      <c r="A23" s="34" t="s">
        <v>87</v>
      </c>
      <c r="B23" s="4">
        <v>6100.0</v>
      </c>
      <c r="C23" s="5" t="s">
        <v>33</v>
      </c>
      <c r="D23" s="35">
        <v>42.0</v>
      </c>
      <c r="E23" s="35">
        <v>23893.0</v>
      </c>
      <c r="F23" s="35">
        <v>25480.0</v>
      </c>
      <c r="G23" s="35">
        <v>3057.0</v>
      </c>
      <c r="H23" s="35">
        <f t="shared" ref="H23:H50" si="11">sum(D23:G23)</f>
        <v>52472</v>
      </c>
      <c r="I23" s="42">
        <f t="shared" si="2"/>
        <v>0.0008004268943</v>
      </c>
      <c r="J23" s="42">
        <f t="shared" si="3"/>
        <v>0.455347614</v>
      </c>
      <c r="K23" s="42">
        <f t="shared" si="7"/>
        <v>0.4855923159</v>
      </c>
      <c r="L23" s="42">
        <f t="shared" si="8"/>
        <v>0.05825964324</v>
      </c>
      <c r="M23" s="42">
        <f t="shared" si="9"/>
        <v>1</v>
      </c>
    </row>
    <row r="24" ht="15.75" customHeight="1">
      <c r="A24" s="38"/>
      <c r="B24" s="4">
        <v>6101.0</v>
      </c>
      <c r="C24" s="5" t="s">
        <v>34</v>
      </c>
      <c r="D24" s="35">
        <v>33.0</v>
      </c>
      <c r="E24" s="35">
        <v>10778.0</v>
      </c>
      <c r="F24" s="35">
        <v>12675.0</v>
      </c>
      <c r="G24" s="35">
        <v>2376.0</v>
      </c>
      <c r="H24" s="35">
        <f t="shared" si="11"/>
        <v>25862</v>
      </c>
      <c r="I24" s="42">
        <f t="shared" si="2"/>
        <v>0.001276003403</v>
      </c>
      <c r="J24" s="42">
        <f t="shared" si="3"/>
        <v>0.4167504447</v>
      </c>
      <c r="K24" s="42">
        <f t="shared" si="7"/>
        <v>0.4901013069</v>
      </c>
      <c r="L24" s="42">
        <f t="shared" si="8"/>
        <v>0.09187224499</v>
      </c>
      <c r="M24" s="42">
        <f t="shared" si="9"/>
        <v>1</v>
      </c>
    </row>
    <row r="25" ht="15.75" customHeight="1">
      <c r="A25" s="38"/>
      <c r="B25" s="4">
        <v>6102.0</v>
      </c>
      <c r="C25" s="5" t="s">
        <v>35</v>
      </c>
      <c r="D25" s="35">
        <v>34.0</v>
      </c>
      <c r="E25" s="35">
        <v>6807.0</v>
      </c>
      <c r="F25" s="35">
        <v>5612.0</v>
      </c>
      <c r="G25" s="35">
        <v>618.0</v>
      </c>
      <c r="H25" s="35">
        <f t="shared" si="11"/>
        <v>13071</v>
      </c>
      <c r="I25" s="42">
        <f t="shared" si="2"/>
        <v>0.002601178181</v>
      </c>
      <c r="J25" s="42">
        <f t="shared" si="3"/>
        <v>0.5207711728</v>
      </c>
      <c r="K25" s="42">
        <f t="shared" si="7"/>
        <v>0.4293474103</v>
      </c>
      <c r="L25" s="42">
        <f t="shared" si="8"/>
        <v>0.0472802387</v>
      </c>
      <c r="M25" s="42">
        <f t="shared" si="9"/>
        <v>1</v>
      </c>
    </row>
    <row r="26" ht="15.75" customHeight="1">
      <c r="A26" s="38"/>
      <c r="B26" s="4">
        <v>6103.0</v>
      </c>
      <c r="C26" s="5" t="s">
        <v>36</v>
      </c>
      <c r="D26" s="35">
        <v>13.0</v>
      </c>
      <c r="E26" s="35">
        <v>7616.0</v>
      </c>
      <c r="F26" s="35">
        <v>6985.0</v>
      </c>
      <c r="G26" s="35">
        <v>838.0</v>
      </c>
      <c r="H26" s="35">
        <f t="shared" si="11"/>
        <v>15452</v>
      </c>
      <c r="I26" s="42">
        <f t="shared" si="2"/>
        <v>0.0008413150401</v>
      </c>
      <c r="J26" s="42">
        <f t="shared" si="3"/>
        <v>0.4928811804</v>
      </c>
      <c r="K26" s="42">
        <f t="shared" si="7"/>
        <v>0.4520450427</v>
      </c>
      <c r="L26" s="42">
        <f t="shared" si="8"/>
        <v>0.05423246182</v>
      </c>
      <c r="M26" s="42">
        <f t="shared" si="9"/>
        <v>1</v>
      </c>
    </row>
    <row r="27" ht="15.75" customHeight="1">
      <c r="A27" s="38"/>
      <c r="B27" s="4">
        <v>6104.0</v>
      </c>
      <c r="C27" s="5" t="s">
        <v>37</v>
      </c>
      <c r="D27" s="35">
        <v>7.0</v>
      </c>
      <c r="E27" s="35">
        <v>8926.0</v>
      </c>
      <c r="F27" s="35">
        <v>11519.0</v>
      </c>
      <c r="G27" s="35">
        <v>2007.0</v>
      </c>
      <c r="H27" s="35">
        <f t="shared" si="11"/>
        <v>22459</v>
      </c>
      <c r="I27" s="42">
        <f t="shared" si="2"/>
        <v>0.0003116790596</v>
      </c>
      <c r="J27" s="42">
        <f t="shared" si="3"/>
        <v>0.3974353266</v>
      </c>
      <c r="K27" s="42">
        <f t="shared" si="7"/>
        <v>0.5128901554</v>
      </c>
      <c r="L27" s="42">
        <f t="shared" si="8"/>
        <v>0.08936283895</v>
      </c>
      <c r="M27" s="42">
        <f t="shared" si="9"/>
        <v>1</v>
      </c>
    </row>
    <row r="28" ht="15.75" customHeight="1">
      <c r="A28" s="38"/>
      <c r="B28" s="4">
        <v>6105.0</v>
      </c>
      <c r="C28" s="5" t="s">
        <v>39</v>
      </c>
      <c r="D28" s="35">
        <v>12.0</v>
      </c>
      <c r="E28" s="35">
        <v>6442.0</v>
      </c>
      <c r="F28" s="35">
        <v>6023.0</v>
      </c>
      <c r="G28" s="35">
        <v>943.0</v>
      </c>
      <c r="H28" s="35">
        <f t="shared" si="11"/>
        <v>13420</v>
      </c>
      <c r="I28" s="42">
        <f t="shared" si="2"/>
        <v>0.0008941877794</v>
      </c>
      <c r="J28" s="42">
        <f t="shared" si="3"/>
        <v>0.4800298063</v>
      </c>
      <c r="K28" s="42">
        <f t="shared" si="7"/>
        <v>0.4488077496</v>
      </c>
      <c r="L28" s="42">
        <f t="shared" si="8"/>
        <v>0.07026825633</v>
      </c>
      <c r="M28" s="42">
        <f t="shared" si="9"/>
        <v>1</v>
      </c>
    </row>
    <row r="29" ht="15.75" customHeight="1">
      <c r="A29" s="38"/>
      <c r="B29" s="4">
        <v>6106.0</v>
      </c>
      <c r="C29" s="5" t="s">
        <v>40</v>
      </c>
      <c r="D29" s="35">
        <v>1.0</v>
      </c>
      <c r="E29" s="35">
        <v>4113.0</v>
      </c>
      <c r="F29" s="35">
        <v>3362.0</v>
      </c>
      <c r="G29" s="35">
        <v>531.0</v>
      </c>
      <c r="H29" s="35">
        <f t="shared" si="11"/>
        <v>8007</v>
      </c>
      <c r="I29" s="42">
        <f t="shared" si="2"/>
        <v>0.0001248907206</v>
      </c>
      <c r="J29" s="42">
        <f t="shared" si="3"/>
        <v>0.5136755339</v>
      </c>
      <c r="K29" s="42">
        <f t="shared" si="7"/>
        <v>0.4198826027</v>
      </c>
      <c r="L29" s="42">
        <f t="shared" si="8"/>
        <v>0.06631697265</v>
      </c>
      <c r="M29" s="42">
        <f t="shared" si="9"/>
        <v>1</v>
      </c>
    </row>
    <row r="30" ht="15.75" customHeight="1">
      <c r="A30" s="38"/>
      <c r="B30" s="4">
        <v>6107.0</v>
      </c>
      <c r="C30" s="5" t="s">
        <v>41</v>
      </c>
      <c r="D30" s="35">
        <v>8.0</v>
      </c>
      <c r="E30" s="35">
        <v>6755.0</v>
      </c>
      <c r="F30" s="35">
        <v>4909.0</v>
      </c>
      <c r="G30" s="35">
        <v>561.0</v>
      </c>
      <c r="H30" s="35">
        <f t="shared" si="11"/>
        <v>12233</v>
      </c>
      <c r="I30" s="42">
        <f t="shared" si="2"/>
        <v>0.000653968773</v>
      </c>
      <c r="J30" s="42">
        <f t="shared" si="3"/>
        <v>0.5521948827</v>
      </c>
      <c r="K30" s="42">
        <f t="shared" si="7"/>
        <v>0.4012915883</v>
      </c>
      <c r="L30" s="42">
        <f t="shared" si="8"/>
        <v>0.04585956021</v>
      </c>
      <c r="M30" s="42">
        <f t="shared" si="9"/>
        <v>1</v>
      </c>
    </row>
    <row r="31" ht="15.75" customHeight="1">
      <c r="A31" s="38"/>
      <c r="B31" s="4">
        <v>6108.0</v>
      </c>
      <c r="C31" s="5" t="s">
        <v>42</v>
      </c>
      <c r="D31" s="35">
        <v>96.0</v>
      </c>
      <c r="E31" s="35">
        <v>9537.0</v>
      </c>
      <c r="F31" s="35">
        <v>7712.0</v>
      </c>
      <c r="G31" s="35">
        <v>1813.0</v>
      </c>
      <c r="H31" s="35">
        <f t="shared" si="11"/>
        <v>19158</v>
      </c>
      <c r="I31" s="42">
        <f t="shared" si="2"/>
        <v>0.005010961478</v>
      </c>
      <c r="J31" s="42">
        <f t="shared" si="3"/>
        <v>0.4978077044</v>
      </c>
      <c r="K31" s="42">
        <f t="shared" si="7"/>
        <v>0.4025472388</v>
      </c>
      <c r="L31" s="42">
        <f t="shared" si="8"/>
        <v>0.09463409542</v>
      </c>
      <c r="M31" s="42">
        <f t="shared" si="9"/>
        <v>1</v>
      </c>
    </row>
    <row r="32" ht="15.75" customHeight="1">
      <c r="A32" s="38"/>
      <c r="B32" s="4">
        <v>6109.0</v>
      </c>
      <c r="C32" s="5" t="s">
        <v>43</v>
      </c>
      <c r="D32" s="35">
        <v>3.0</v>
      </c>
      <c r="E32" s="35">
        <v>5523.0</v>
      </c>
      <c r="F32" s="35">
        <v>3829.0</v>
      </c>
      <c r="G32" s="35">
        <v>615.0</v>
      </c>
      <c r="H32" s="35">
        <f t="shared" si="11"/>
        <v>9970</v>
      </c>
      <c r="I32" s="42">
        <f t="shared" si="2"/>
        <v>0.0003009027081</v>
      </c>
      <c r="J32" s="42">
        <f t="shared" si="3"/>
        <v>0.5539618857</v>
      </c>
      <c r="K32" s="42">
        <f t="shared" si="7"/>
        <v>0.3840521565</v>
      </c>
      <c r="L32" s="42">
        <f t="shared" si="8"/>
        <v>0.06168505517</v>
      </c>
      <c r="M32" s="42">
        <f t="shared" si="9"/>
        <v>1</v>
      </c>
    </row>
    <row r="33" ht="15.75" customHeight="1">
      <c r="A33" s="38"/>
      <c r="B33" s="4">
        <v>6110.0</v>
      </c>
      <c r="C33" s="5" t="s">
        <v>44</v>
      </c>
      <c r="D33" s="35">
        <v>9.0</v>
      </c>
      <c r="E33" s="35">
        <v>9535.0</v>
      </c>
      <c r="F33" s="35">
        <v>9588.0</v>
      </c>
      <c r="G33" s="35">
        <v>1022.0</v>
      </c>
      <c r="H33" s="35">
        <f t="shared" si="11"/>
        <v>20154</v>
      </c>
      <c r="I33" s="42">
        <f t="shared" si="2"/>
        <v>0.0004465614766</v>
      </c>
      <c r="J33" s="42">
        <f t="shared" si="3"/>
        <v>0.4731070755</v>
      </c>
      <c r="K33" s="42">
        <f t="shared" si="7"/>
        <v>0.4757368264</v>
      </c>
      <c r="L33" s="42">
        <f t="shared" si="8"/>
        <v>0.05070953657</v>
      </c>
      <c r="M33" s="42">
        <f t="shared" si="9"/>
        <v>1</v>
      </c>
    </row>
    <row r="34" ht="15.75" customHeight="1">
      <c r="A34" s="38"/>
      <c r="B34" s="4">
        <v>6111.0</v>
      </c>
      <c r="C34" s="5" t="s">
        <v>45</v>
      </c>
      <c r="D34" s="35">
        <v>0.0</v>
      </c>
      <c r="E34" s="35">
        <v>5897.0</v>
      </c>
      <c r="F34" s="35">
        <v>5814.0</v>
      </c>
      <c r="G34" s="35">
        <v>700.0</v>
      </c>
      <c r="H34" s="35">
        <f t="shared" si="11"/>
        <v>12411</v>
      </c>
      <c r="I34" s="42">
        <f t="shared" si="2"/>
        <v>0</v>
      </c>
      <c r="J34" s="42">
        <f t="shared" si="3"/>
        <v>0.4751430183</v>
      </c>
      <c r="K34" s="42">
        <f t="shared" si="7"/>
        <v>0.4684554025</v>
      </c>
      <c r="L34" s="42">
        <f t="shared" si="8"/>
        <v>0.05640157924</v>
      </c>
      <c r="M34" s="42">
        <f t="shared" si="9"/>
        <v>1</v>
      </c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15.75" customHeight="1">
      <c r="A35" s="38"/>
      <c r="B35" s="211">
        <v>6112.0</v>
      </c>
      <c r="C35" s="212" t="s">
        <v>46</v>
      </c>
      <c r="D35" s="213">
        <v>12.0</v>
      </c>
      <c r="E35" s="213">
        <v>4669.0</v>
      </c>
      <c r="F35" s="213">
        <v>4491.0</v>
      </c>
      <c r="G35" s="213">
        <v>700.0</v>
      </c>
      <c r="H35" s="213">
        <f t="shared" si="11"/>
        <v>9872</v>
      </c>
      <c r="I35" s="214">
        <f t="shared" si="2"/>
        <v>0.001215559157</v>
      </c>
      <c r="J35" s="214">
        <f t="shared" si="3"/>
        <v>0.4729538088</v>
      </c>
      <c r="K35" s="214">
        <f t="shared" si="7"/>
        <v>0.4549230146</v>
      </c>
      <c r="L35" s="214">
        <f t="shared" si="8"/>
        <v>0.0709076175</v>
      </c>
      <c r="M35" s="214">
        <f t="shared" si="9"/>
        <v>1</v>
      </c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</row>
    <row r="36" ht="15.75" customHeight="1">
      <c r="A36" s="38"/>
      <c r="B36" s="43">
        <v>6113.0</v>
      </c>
      <c r="C36" s="44" t="s">
        <v>47</v>
      </c>
      <c r="D36" s="45">
        <v>13.0</v>
      </c>
      <c r="E36" s="45">
        <v>7706.0</v>
      </c>
      <c r="F36" s="45">
        <v>9212.0</v>
      </c>
      <c r="G36" s="45">
        <v>1542.0</v>
      </c>
      <c r="H36" s="45">
        <f t="shared" si="11"/>
        <v>18473</v>
      </c>
      <c r="I36" s="46">
        <f t="shared" si="2"/>
        <v>0.0007037297678</v>
      </c>
      <c r="J36" s="46">
        <f t="shared" si="3"/>
        <v>0.4171493531</v>
      </c>
      <c r="K36" s="46">
        <f t="shared" si="7"/>
        <v>0.4986737401</v>
      </c>
      <c r="L36" s="46">
        <f t="shared" si="8"/>
        <v>0.08347317707</v>
      </c>
      <c r="M36" s="46">
        <f t="shared" si="9"/>
        <v>1</v>
      </c>
    </row>
    <row r="37" ht="15.75" customHeight="1">
      <c r="A37" s="38"/>
      <c r="B37" s="43">
        <v>6114.0</v>
      </c>
      <c r="C37" s="44" t="s">
        <v>48</v>
      </c>
      <c r="D37" s="45">
        <v>3.0</v>
      </c>
      <c r="E37" s="45">
        <v>6726.0</v>
      </c>
      <c r="F37" s="45">
        <v>4248.0</v>
      </c>
      <c r="G37" s="45">
        <v>374.0</v>
      </c>
      <c r="H37" s="45">
        <f t="shared" si="11"/>
        <v>11351</v>
      </c>
      <c r="I37" s="46">
        <f t="shared" si="2"/>
        <v>0.0002642938948</v>
      </c>
      <c r="J37" s="46">
        <f t="shared" si="3"/>
        <v>0.5925469122</v>
      </c>
      <c r="K37" s="46">
        <f t="shared" si="7"/>
        <v>0.3742401551</v>
      </c>
      <c r="L37" s="46">
        <f t="shared" si="8"/>
        <v>0.03294863889</v>
      </c>
      <c r="M37" s="46">
        <f t="shared" si="9"/>
        <v>1</v>
      </c>
    </row>
    <row r="38" ht="15.75" customHeight="1">
      <c r="A38" s="38"/>
      <c r="B38" s="4">
        <v>6115.0</v>
      </c>
      <c r="C38" s="5" t="s">
        <v>49</v>
      </c>
      <c r="D38" s="35">
        <v>14.0</v>
      </c>
      <c r="E38" s="35">
        <v>6416.0</v>
      </c>
      <c r="F38" s="35">
        <v>4699.0</v>
      </c>
      <c r="G38" s="35">
        <v>611.0</v>
      </c>
      <c r="H38" s="35">
        <f t="shared" si="11"/>
        <v>11740</v>
      </c>
      <c r="I38" s="42">
        <f t="shared" si="2"/>
        <v>0.001192504259</v>
      </c>
      <c r="J38" s="42">
        <f t="shared" si="3"/>
        <v>0.5465076661</v>
      </c>
      <c r="K38" s="42">
        <f t="shared" si="7"/>
        <v>0.4002555366</v>
      </c>
      <c r="L38" s="42">
        <f t="shared" si="8"/>
        <v>0.05204429302</v>
      </c>
      <c r="M38" s="42">
        <f t="shared" si="9"/>
        <v>1</v>
      </c>
    </row>
    <row r="39" ht="15.75" customHeight="1">
      <c r="A39" s="38"/>
      <c r="B39" s="211">
        <v>6116.0</v>
      </c>
      <c r="C39" s="212" t="s">
        <v>50</v>
      </c>
      <c r="D39" s="213">
        <v>0.0</v>
      </c>
      <c r="E39" s="213">
        <v>5757.0</v>
      </c>
      <c r="F39" s="213">
        <v>5240.0</v>
      </c>
      <c r="G39" s="213">
        <v>1091.0</v>
      </c>
      <c r="H39" s="213">
        <f t="shared" si="11"/>
        <v>12088</v>
      </c>
      <c r="I39" s="214">
        <f t="shared" si="2"/>
        <v>0</v>
      </c>
      <c r="J39" s="214">
        <f t="shared" si="3"/>
        <v>0.4762574454</v>
      </c>
      <c r="K39" s="214">
        <f t="shared" si="7"/>
        <v>0.4334877565</v>
      </c>
      <c r="L39" s="214">
        <f t="shared" si="8"/>
        <v>0.09025479815</v>
      </c>
      <c r="M39" s="214">
        <f t="shared" si="9"/>
        <v>1</v>
      </c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</row>
    <row r="40" ht="15.75" customHeight="1">
      <c r="A40" s="38"/>
      <c r="B40" s="87">
        <v>6117.0</v>
      </c>
      <c r="C40" s="88" t="s">
        <v>51</v>
      </c>
      <c r="D40" s="216">
        <v>9.0</v>
      </c>
      <c r="E40" s="216">
        <v>4421.0</v>
      </c>
      <c r="F40" s="216">
        <v>3688.0</v>
      </c>
      <c r="G40" s="216">
        <v>355.0</v>
      </c>
      <c r="H40" s="216">
        <f t="shared" si="11"/>
        <v>8473</v>
      </c>
      <c r="I40" s="42">
        <f t="shared" si="2"/>
        <v>0.001062197569</v>
      </c>
      <c r="J40" s="42">
        <f t="shared" si="3"/>
        <v>0.5217750502</v>
      </c>
      <c r="K40" s="42">
        <f t="shared" si="7"/>
        <v>0.4352649593</v>
      </c>
      <c r="L40" s="42">
        <f t="shared" si="8"/>
        <v>0.04189779299</v>
      </c>
      <c r="M40" s="42">
        <f t="shared" si="9"/>
        <v>1</v>
      </c>
    </row>
    <row r="41" ht="15.75" customHeight="1">
      <c r="A41" s="38"/>
      <c r="B41" s="4">
        <v>6118.0</v>
      </c>
      <c r="C41" s="5" t="s">
        <v>52</v>
      </c>
      <c r="D41" s="35">
        <v>2.0</v>
      </c>
      <c r="E41" s="35">
        <v>1458.0</v>
      </c>
      <c r="F41" s="35">
        <v>2789.0</v>
      </c>
      <c r="G41" s="35">
        <v>427.0</v>
      </c>
      <c r="H41" s="35">
        <f t="shared" si="11"/>
        <v>4676</v>
      </c>
      <c r="I41" s="42">
        <f t="shared" si="2"/>
        <v>0.0004277159966</v>
      </c>
      <c r="J41" s="42">
        <f t="shared" si="3"/>
        <v>0.3118049615</v>
      </c>
      <c r="K41" s="42">
        <f t="shared" si="7"/>
        <v>0.5964499572</v>
      </c>
      <c r="L41" s="42">
        <f t="shared" si="8"/>
        <v>0.09131736527</v>
      </c>
      <c r="M41" s="42">
        <f t="shared" si="9"/>
        <v>1</v>
      </c>
    </row>
    <row r="42" ht="15.75" customHeight="1">
      <c r="A42" s="38"/>
      <c r="B42" s="4">
        <v>6171.0</v>
      </c>
      <c r="C42" s="5" t="s">
        <v>53</v>
      </c>
      <c r="D42" s="35">
        <v>58.0</v>
      </c>
      <c r="E42" s="35">
        <v>7998.0</v>
      </c>
      <c r="F42" s="35">
        <v>6758.0</v>
      </c>
      <c r="G42" s="35">
        <v>1212.0</v>
      </c>
      <c r="H42" s="35">
        <f t="shared" si="11"/>
        <v>16026</v>
      </c>
      <c r="I42" s="42">
        <f t="shared" si="2"/>
        <v>0.003619118932</v>
      </c>
      <c r="J42" s="42">
        <f t="shared" si="3"/>
        <v>0.499064021</v>
      </c>
      <c r="K42" s="42">
        <f t="shared" si="7"/>
        <v>0.4216897541</v>
      </c>
      <c r="L42" s="42">
        <f t="shared" si="8"/>
        <v>0.07562710595</v>
      </c>
      <c r="M42" s="42">
        <f t="shared" si="9"/>
        <v>1</v>
      </c>
    </row>
    <row r="43" ht="15.0" customHeight="1">
      <c r="A43" s="38"/>
      <c r="B43" s="4">
        <v>6172.0</v>
      </c>
      <c r="C43" s="5" t="s">
        <v>54</v>
      </c>
      <c r="D43" s="35">
        <v>4.0</v>
      </c>
      <c r="E43" s="35">
        <v>4045.0</v>
      </c>
      <c r="F43" s="35">
        <v>2941.0</v>
      </c>
      <c r="G43" s="35">
        <v>845.0</v>
      </c>
      <c r="H43" s="35">
        <f t="shared" si="11"/>
        <v>7835</v>
      </c>
      <c r="I43" s="42">
        <f t="shared" si="2"/>
        <v>0.0005105296745</v>
      </c>
      <c r="J43" s="42">
        <f t="shared" si="3"/>
        <v>0.5162731334</v>
      </c>
      <c r="K43" s="42">
        <f t="shared" si="7"/>
        <v>0.3753669432</v>
      </c>
      <c r="L43" s="42">
        <f t="shared" si="8"/>
        <v>0.1078493937</v>
      </c>
      <c r="M43" s="42">
        <f t="shared" si="9"/>
        <v>1</v>
      </c>
    </row>
    <row r="44" ht="15.75" customHeight="1">
      <c r="A44" s="38"/>
      <c r="B44" s="4">
        <v>6173.0</v>
      </c>
      <c r="C44" s="5" t="s">
        <v>55</v>
      </c>
      <c r="D44" s="35">
        <v>5.0</v>
      </c>
      <c r="E44" s="35">
        <v>1881.0</v>
      </c>
      <c r="F44" s="35">
        <v>1565.0</v>
      </c>
      <c r="G44" s="35">
        <v>191.0</v>
      </c>
      <c r="H44" s="35">
        <f t="shared" si="11"/>
        <v>3642</v>
      </c>
      <c r="I44" s="42">
        <f t="shared" si="2"/>
        <v>0.001372872048</v>
      </c>
      <c r="J44" s="42">
        <f t="shared" si="3"/>
        <v>0.5164744646</v>
      </c>
      <c r="K44" s="42">
        <f t="shared" si="7"/>
        <v>0.4297089511</v>
      </c>
      <c r="L44" s="42">
        <f t="shared" si="8"/>
        <v>0.05244371225</v>
      </c>
      <c r="M44" s="42">
        <f t="shared" si="9"/>
        <v>1</v>
      </c>
    </row>
    <row r="45" ht="15.75" customHeight="1">
      <c r="A45" s="38"/>
      <c r="B45" s="4">
        <v>6174.0</v>
      </c>
      <c r="C45" s="5" t="s">
        <v>56</v>
      </c>
      <c r="D45" s="35">
        <v>2.0</v>
      </c>
      <c r="E45" s="35">
        <v>2659.0</v>
      </c>
      <c r="F45" s="35">
        <v>2490.0</v>
      </c>
      <c r="G45" s="35">
        <v>621.0</v>
      </c>
      <c r="H45" s="35">
        <f t="shared" si="11"/>
        <v>5772</v>
      </c>
      <c r="I45" s="42">
        <f t="shared" si="2"/>
        <v>0.0003465003465</v>
      </c>
      <c r="J45" s="42">
        <f t="shared" si="3"/>
        <v>0.4606722107</v>
      </c>
      <c r="K45" s="42">
        <f t="shared" si="7"/>
        <v>0.4313929314</v>
      </c>
      <c r="L45" s="42">
        <f t="shared" si="8"/>
        <v>0.1075883576</v>
      </c>
      <c r="M45" s="42">
        <f t="shared" si="9"/>
        <v>1</v>
      </c>
    </row>
    <row r="46" ht="15.75" customHeight="1">
      <c r="A46" s="38"/>
      <c r="B46" s="4">
        <v>6175.0</v>
      </c>
      <c r="C46" s="5" t="s">
        <v>57</v>
      </c>
      <c r="D46" s="35">
        <v>17.0</v>
      </c>
      <c r="E46" s="35">
        <v>8355.0</v>
      </c>
      <c r="F46" s="35">
        <v>9556.0</v>
      </c>
      <c r="G46" s="35">
        <v>1319.0</v>
      </c>
      <c r="H46" s="35">
        <f t="shared" si="11"/>
        <v>19247</v>
      </c>
      <c r="I46" s="42">
        <f t="shared" si="2"/>
        <v>0.0008832545332</v>
      </c>
      <c r="J46" s="42">
        <f t="shared" si="3"/>
        <v>0.434093625</v>
      </c>
      <c r="K46" s="42">
        <f t="shared" si="7"/>
        <v>0.4964929599</v>
      </c>
      <c r="L46" s="42">
        <f t="shared" si="8"/>
        <v>0.06853016054</v>
      </c>
      <c r="M46" s="42">
        <f t="shared" si="9"/>
        <v>1</v>
      </c>
    </row>
    <row r="47" ht="15.75" customHeight="1">
      <c r="A47" s="38"/>
      <c r="B47" s="4">
        <v>6176.0</v>
      </c>
      <c r="C47" s="5" t="s">
        <v>58</v>
      </c>
      <c r="D47" s="35">
        <v>8.0</v>
      </c>
      <c r="E47" s="35">
        <v>3697.0</v>
      </c>
      <c r="F47" s="35">
        <v>3141.0</v>
      </c>
      <c r="G47" s="35">
        <v>396.0</v>
      </c>
      <c r="H47" s="35">
        <f t="shared" si="11"/>
        <v>7242</v>
      </c>
      <c r="I47" s="42">
        <f t="shared" si="2"/>
        <v>0.001104667219</v>
      </c>
      <c r="J47" s="42">
        <f t="shared" si="3"/>
        <v>0.5104943386</v>
      </c>
      <c r="K47" s="42">
        <f t="shared" si="7"/>
        <v>0.4337199669</v>
      </c>
      <c r="L47" s="42">
        <f t="shared" si="8"/>
        <v>0.05468102734</v>
      </c>
      <c r="M47" s="42">
        <f t="shared" si="9"/>
        <v>1</v>
      </c>
    </row>
    <row r="48" ht="15.75" customHeight="1">
      <c r="A48" s="38"/>
      <c r="B48" s="4">
        <v>6177.0</v>
      </c>
      <c r="C48" s="5" t="s">
        <v>59</v>
      </c>
      <c r="D48" s="35">
        <v>10.0</v>
      </c>
      <c r="E48" s="35">
        <v>2684.0</v>
      </c>
      <c r="F48" s="35">
        <v>2749.0</v>
      </c>
      <c r="G48" s="35">
        <v>868.0</v>
      </c>
      <c r="H48" s="35">
        <f t="shared" si="11"/>
        <v>6311</v>
      </c>
      <c r="I48" s="42">
        <f t="shared" si="2"/>
        <v>0.001584534939</v>
      </c>
      <c r="J48" s="42">
        <f t="shared" si="3"/>
        <v>0.4252891776</v>
      </c>
      <c r="K48" s="42">
        <f t="shared" si="7"/>
        <v>0.4355886547</v>
      </c>
      <c r="L48" s="42">
        <f t="shared" si="8"/>
        <v>0.1375376327</v>
      </c>
      <c r="M48" s="42">
        <f t="shared" si="9"/>
        <v>1</v>
      </c>
    </row>
    <row r="49" ht="15.75" customHeight="1">
      <c r="A49" s="38"/>
      <c r="B49" s="4">
        <v>6178.0</v>
      </c>
      <c r="C49" s="5" t="s">
        <v>60</v>
      </c>
      <c r="D49" s="35">
        <v>5.0</v>
      </c>
      <c r="E49" s="35">
        <v>3271.0</v>
      </c>
      <c r="F49" s="35">
        <v>2786.0</v>
      </c>
      <c r="G49" s="35">
        <v>404.0</v>
      </c>
      <c r="H49" s="35">
        <f t="shared" si="11"/>
        <v>6466</v>
      </c>
      <c r="I49" s="42">
        <f t="shared" si="2"/>
        <v>0.0007732755954</v>
      </c>
      <c r="J49" s="42">
        <f t="shared" si="3"/>
        <v>0.5058768945</v>
      </c>
      <c r="K49" s="42">
        <f t="shared" si="7"/>
        <v>0.4308691618</v>
      </c>
      <c r="L49" s="42">
        <f t="shared" si="8"/>
        <v>0.06248066811</v>
      </c>
      <c r="M49" s="42">
        <f t="shared" si="9"/>
        <v>1</v>
      </c>
    </row>
    <row r="50" ht="15.75" customHeight="1">
      <c r="A50" s="38"/>
      <c r="B50" s="4">
        <v>6179.0</v>
      </c>
      <c r="C50" s="5" t="s">
        <v>61</v>
      </c>
      <c r="D50" s="35">
        <v>2.0</v>
      </c>
      <c r="E50" s="35">
        <v>1673.0</v>
      </c>
      <c r="F50" s="35">
        <v>2681.0</v>
      </c>
      <c r="G50" s="35">
        <v>505.0</v>
      </c>
      <c r="H50" s="35">
        <f t="shared" si="11"/>
        <v>4861</v>
      </c>
      <c r="I50" s="42">
        <f t="shared" si="2"/>
        <v>0.0004114379757</v>
      </c>
      <c r="J50" s="42">
        <f t="shared" si="3"/>
        <v>0.3441678667</v>
      </c>
      <c r="K50" s="42">
        <f t="shared" si="7"/>
        <v>0.5515326065</v>
      </c>
      <c r="L50" s="42">
        <f t="shared" si="8"/>
        <v>0.1038880889</v>
      </c>
      <c r="M50" s="42">
        <f t="shared" si="9"/>
        <v>1</v>
      </c>
    </row>
    <row r="51" ht="15.75" customHeight="1">
      <c r="A51" s="38"/>
      <c r="B51" s="24" t="s">
        <v>62</v>
      </c>
      <c r="C51" s="25"/>
      <c r="D51" s="56">
        <f t="shared" ref="D51:H51" si="12">SUM(D23:D50)</f>
        <v>422</v>
      </c>
      <c r="E51" s="56">
        <f t="shared" si="12"/>
        <v>179238</v>
      </c>
      <c r="F51" s="56">
        <f t="shared" si="12"/>
        <v>172542</v>
      </c>
      <c r="G51" s="56">
        <f t="shared" si="12"/>
        <v>26542</v>
      </c>
      <c r="H51" s="56">
        <f t="shared" si="12"/>
        <v>378744</v>
      </c>
      <c r="I51" s="57">
        <f t="shared" si="2"/>
        <v>0.00111420907</v>
      </c>
      <c r="J51" s="57">
        <f t="shared" si="3"/>
        <v>0.4732431405</v>
      </c>
      <c r="K51" s="57">
        <f t="shared" si="7"/>
        <v>0.4555636525</v>
      </c>
      <c r="L51" s="57">
        <f t="shared" si="8"/>
        <v>0.07007899795</v>
      </c>
      <c r="M51" s="57">
        <f t="shared" si="9"/>
        <v>1</v>
      </c>
    </row>
    <row r="52" ht="15.75" customHeight="1">
      <c r="A52" s="38"/>
      <c r="B52" s="17">
        <v>6200.0</v>
      </c>
      <c r="C52" s="18" t="s">
        <v>63</v>
      </c>
      <c r="D52" s="58">
        <v>9.0</v>
      </c>
      <c r="E52" s="58">
        <v>8541.0</v>
      </c>
      <c r="F52" s="58">
        <v>11196.0</v>
      </c>
      <c r="G52" s="58">
        <v>1909.0</v>
      </c>
      <c r="H52" s="58">
        <f t="shared" ref="H52:H60" si="13">sum(D52:G52)</f>
        <v>21655</v>
      </c>
      <c r="I52" s="59">
        <f t="shared" si="2"/>
        <v>0.0004156084045</v>
      </c>
      <c r="J52" s="59">
        <f t="shared" si="3"/>
        <v>0.3944123759</v>
      </c>
      <c r="K52" s="59">
        <f t="shared" si="7"/>
        <v>0.5170168552</v>
      </c>
      <c r="L52" s="59">
        <f t="shared" si="8"/>
        <v>0.08815516047</v>
      </c>
      <c r="M52" s="59">
        <f t="shared" si="9"/>
        <v>1</v>
      </c>
    </row>
    <row r="53" ht="15.75" customHeight="1">
      <c r="A53" s="38"/>
      <c r="B53" s="17">
        <v>6201.0</v>
      </c>
      <c r="C53" s="18" t="s">
        <v>64</v>
      </c>
      <c r="D53" s="58">
        <v>7.0</v>
      </c>
      <c r="E53" s="58">
        <v>5704.0</v>
      </c>
      <c r="F53" s="58">
        <v>4135.0</v>
      </c>
      <c r="G53" s="58">
        <v>325.0</v>
      </c>
      <c r="H53" s="58">
        <f t="shared" si="13"/>
        <v>10171</v>
      </c>
      <c r="I53" s="59">
        <f t="shared" si="2"/>
        <v>0.0006882312457</v>
      </c>
      <c r="J53" s="59">
        <f t="shared" si="3"/>
        <v>0.5608101465</v>
      </c>
      <c r="K53" s="59">
        <f t="shared" si="7"/>
        <v>0.4065480287</v>
      </c>
      <c r="L53" s="59">
        <f t="shared" si="8"/>
        <v>0.03195359355</v>
      </c>
      <c r="M53" s="59">
        <f t="shared" si="9"/>
        <v>1</v>
      </c>
    </row>
    <row r="54" ht="15.75" customHeight="1">
      <c r="A54" s="38"/>
      <c r="B54" s="17">
        <v>6202.0</v>
      </c>
      <c r="C54" s="18" t="s">
        <v>65</v>
      </c>
      <c r="D54" s="58">
        <v>19.0</v>
      </c>
      <c r="E54" s="58">
        <v>6413.0</v>
      </c>
      <c r="F54" s="58">
        <v>5687.0</v>
      </c>
      <c r="G54" s="58">
        <v>516.0</v>
      </c>
      <c r="H54" s="58">
        <f t="shared" si="13"/>
        <v>12635</v>
      </c>
      <c r="I54" s="59">
        <f t="shared" si="2"/>
        <v>0.001503759398</v>
      </c>
      <c r="J54" s="59">
        <f t="shared" si="3"/>
        <v>0.5075583696</v>
      </c>
      <c r="K54" s="59">
        <f t="shared" si="7"/>
        <v>0.4500989315</v>
      </c>
      <c r="L54" s="59">
        <f t="shared" si="8"/>
        <v>0.04083893945</v>
      </c>
      <c r="M54" s="59">
        <f t="shared" si="9"/>
        <v>1</v>
      </c>
    </row>
    <row r="55" ht="15.75" customHeight="1">
      <c r="A55" s="38"/>
      <c r="B55" s="17">
        <v>6203.0</v>
      </c>
      <c r="C55" s="18" t="s">
        <v>66</v>
      </c>
      <c r="D55" s="58">
        <v>5.0</v>
      </c>
      <c r="E55" s="58">
        <v>5687.0</v>
      </c>
      <c r="F55" s="58">
        <v>6113.0</v>
      </c>
      <c r="G55" s="58">
        <v>579.0</v>
      </c>
      <c r="H55" s="58">
        <f t="shared" si="13"/>
        <v>12384</v>
      </c>
      <c r="I55" s="59">
        <f t="shared" si="2"/>
        <v>0.00040374677</v>
      </c>
      <c r="J55" s="59">
        <f t="shared" si="3"/>
        <v>0.4592215762</v>
      </c>
      <c r="K55" s="59">
        <f t="shared" si="7"/>
        <v>0.493620801</v>
      </c>
      <c r="L55" s="59">
        <f t="shared" si="8"/>
        <v>0.04675387597</v>
      </c>
      <c r="M55" s="59">
        <f t="shared" si="9"/>
        <v>1</v>
      </c>
    </row>
    <row r="56" ht="15.75" customHeight="1">
      <c r="A56" s="38"/>
      <c r="B56" s="4">
        <v>6204.0</v>
      </c>
      <c r="C56" s="5" t="s">
        <v>67</v>
      </c>
      <c r="D56" s="35">
        <v>32.0</v>
      </c>
      <c r="E56" s="35">
        <v>7804.0</v>
      </c>
      <c r="F56" s="35">
        <v>6936.0</v>
      </c>
      <c r="G56" s="35">
        <v>1088.0</v>
      </c>
      <c r="H56" s="35">
        <f t="shared" si="13"/>
        <v>15860</v>
      </c>
      <c r="I56" s="42">
        <f t="shared" si="2"/>
        <v>0.002017654477</v>
      </c>
      <c r="J56" s="42">
        <f t="shared" si="3"/>
        <v>0.4920554855</v>
      </c>
      <c r="K56" s="42">
        <f t="shared" si="7"/>
        <v>0.4373266078</v>
      </c>
      <c r="L56" s="42">
        <f t="shared" si="8"/>
        <v>0.06860025221</v>
      </c>
      <c r="M56" s="42">
        <f t="shared" si="9"/>
        <v>1</v>
      </c>
    </row>
    <row r="57" ht="15.75" customHeight="1">
      <c r="A57" s="38"/>
      <c r="B57" s="4">
        <v>6271.0</v>
      </c>
      <c r="C57" s="5" t="s">
        <v>68</v>
      </c>
      <c r="D57" s="35">
        <v>2.0</v>
      </c>
      <c r="E57" s="35">
        <v>6037.0</v>
      </c>
      <c r="F57" s="35">
        <v>6362.0</v>
      </c>
      <c r="G57" s="35">
        <v>1329.0</v>
      </c>
      <c r="H57" s="35">
        <f t="shared" si="13"/>
        <v>13730</v>
      </c>
      <c r="I57" s="42">
        <f t="shared" si="2"/>
        <v>0.0001456664239</v>
      </c>
      <c r="J57" s="42">
        <f t="shared" si="3"/>
        <v>0.4396941005</v>
      </c>
      <c r="K57" s="42">
        <f t="shared" si="7"/>
        <v>0.4633648944</v>
      </c>
      <c r="L57" s="42">
        <f t="shared" si="8"/>
        <v>0.09679533867</v>
      </c>
      <c r="M57" s="42">
        <f t="shared" si="9"/>
        <v>1</v>
      </c>
    </row>
    <row r="58" ht="15.75" customHeight="1">
      <c r="A58" s="38"/>
      <c r="B58" s="4">
        <v>6272.0</v>
      </c>
      <c r="C58" s="5" t="s">
        <v>69</v>
      </c>
      <c r="D58" s="35">
        <v>4.0</v>
      </c>
      <c r="E58" s="35">
        <v>3079.0</v>
      </c>
      <c r="F58" s="35">
        <v>2529.0</v>
      </c>
      <c r="G58" s="35">
        <v>250.0</v>
      </c>
      <c r="H58" s="35">
        <f t="shared" si="13"/>
        <v>5862</v>
      </c>
      <c r="I58" s="42">
        <f t="shared" si="2"/>
        <v>0.000682360969</v>
      </c>
      <c r="J58" s="42">
        <f t="shared" si="3"/>
        <v>0.5252473559</v>
      </c>
      <c r="K58" s="42">
        <f t="shared" si="7"/>
        <v>0.4314227226</v>
      </c>
      <c r="L58" s="42">
        <f t="shared" si="8"/>
        <v>0.04264756056</v>
      </c>
      <c r="M58" s="42">
        <f t="shared" si="9"/>
        <v>1</v>
      </c>
    </row>
    <row r="59" ht="15.75" customHeight="1">
      <c r="A59" s="38"/>
      <c r="B59" s="4">
        <v>6273.0</v>
      </c>
      <c r="C59" s="5" t="s">
        <v>70</v>
      </c>
      <c r="D59" s="35">
        <v>1.0</v>
      </c>
      <c r="E59" s="35">
        <v>2306.0</v>
      </c>
      <c r="F59" s="35">
        <v>2786.0</v>
      </c>
      <c r="G59" s="35">
        <v>754.0</v>
      </c>
      <c r="H59" s="35">
        <f t="shared" si="13"/>
        <v>5847</v>
      </c>
      <c r="I59" s="42">
        <f t="shared" si="2"/>
        <v>0.0001710278775</v>
      </c>
      <c r="J59" s="42">
        <f t="shared" si="3"/>
        <v>0.3943902856</v>
      </c>
      <c r="K59" s="42">
        <f t="shared" si="7"/>
        <v>0.4764836668</v>
      </c>
      <c r="L59" s="42">
        <f t="shared" si="8"/>
        <v>0.1289550197</v>
      </c>
      <c r="M59" s="42">
        <f t="shared" si="9"/>
        <v>1</v>
      </c>
    </row>
    <row r="60" ht="15.75" customHeight="1">
      <c r="A60" s="3"/>
      <c r="B60" s="4">
        <v>6274.0</v>
      </c>
      <c r="C60" s="5" t="s">
        <v>71</v>
      </c>
      <c r="D60" s="35">
        <v>10.0</v>
      </c>
      <c r="E60" s="35">
        <v>5117.0</v>
      </c>
      <c r="F60" s="35">
        <v>8433.0</v>
      </c>
      <c r="G60" s="35">
        <v>1846.0</v>
      </c>
      <c r="H60" s="35">
        <f t="shared" si="13"/>
        <v>15406</v>
      </c>
      <c r="I60" s="42">
        <f t="shared" si="2"/>
        <v>0.0006490977541</v>
      </c>
      <c r="J60" s="42">
        <f t="shared" si="3"/>
        <v>0.3321433208</v>
      </c>
      <c r="K60" s="42">
        <f t="shared" si="7"/>
        <v>0.5473841361</v>
      </c>
      <c r="L60" s="42">
        <f t="shared" si="8"/>
        <v>0.1198234454</v>
      </c>
      <c r="M60" s="42">
        <f t="shared" si="9"/>
        <v>1</v>
      </c>
    </row>
    <row r="61" ht="15.75" customHeight="1">
      <c r="A61" s="217"/>
      <c r="B61" s="24" t="s">
        <v>72</v>
      </c>
      <c r="C61" s="25"/>
      <c r="D61" s="56">
        <f t="shared" ref="D61:H61" si="14">SUM(D52:D60)</f>
        <v>89</v>
      </c>
      <c r="E61" s="56">
        <f t="shared" si="14"/>
        <v>50688</v>
      </c>
      <c r="F61" s="56">
        <f t="shared" si="14"/>
        <v>54177</v>
      </c>
      <c r="G61" s="56">
        <f t="shared" si="14"/>
        <v>8596</v>
      </c>
      <c r="H61" s="56">
        <f t="shared" si="14"/>
        <v>113550</v>
      </c>
      <c r="I61" s="57">
        <f t="shared" si="2"/>
        <v>0.0007837956847</v>
      </c>
      <c r="J61" s="57">
        <f t="shared" si="3"/>
        <v>0.4463936592</v>
      </c>
      <c r="K61" s="57">
        <f t="shared" si="7"/>
        <v>0.4771202114</v>
      </c>
      <c r="L61" s="57">
        <f t="shared" si="8"/>
        <v>0.07570233377</v>
      </c>
      <c r="M61" s="57">
        <f t="shared" si="9"/>
        <v>1</v>
      </c>
    </row>
    <row r="62" ht="30.0" customHeight="1">
      <c r="A62" s="63" t="s">
        <v>73</v>
      </c>
      <c r="B62" s="64"/>
      <c r="C62" s="25"/>
      <c r="D62" s="62">
        <f t="shared" ref="D62:H62" si="15">D51+D61</f>
        <v>511</v>
      </c>
      <c r="E62" s="62">
        <f t="shared" si="15"/>
        <v>229926</v>
      </c>
      <c r="F62" s="62">
        <f t="shared" si="15"/>
        <v>226719</v>
      </c>
      <c r="G62" s="62">
        <f t="shared" si="15"/>
        <v>35138</v>
      </c>
      <c r="H62" s="62">
        <f t="shared" si="15"/>
        <v>492294</v>
      </c>
      <c r="I62" s="218">
        <f t="shared" si="2"/>
        <v>0.001037997619</v>
      </c>
      <c r="J62" s="218">
        <f t="shared" si="3"/>
        <v>0.4670501773</v>
      </c>
      <c r="K62" s="218">
        <f t="shared" si="7"/>
        <v>0.4605357774</v>
      </c>
      <c r="L62" s="218">
        <f t="shared" si="8"/>
        <v>0.07137604765</v>
      </c>
      <c r="M62" s="218">
        <f t="shared" si="9"/>
        <v>1</v>
      </c>
    </row>
    <row r="63" ht="30.0" customHeight="1">
      <c r="A63" s="65" t="s">
        <v>88</v>
      </c>
      <c r="B63" s="64"/>
      <c r="C63" s="25"/>
      <c r="D63" s="56">
        <f t="shared" ref="D63:H63" si="16">D22+D62</f>
        <v>918</v>
      </c>
      <c r="E63" s="56">
        <f t="shared" si="16"/>
        <v>258718</v>
      </c>
      <c r="F63" s="56">
        <f t="shared" si="16"/>
        <v>239776</v>
      </c>
      <c r="G63" s="56">
        <f t="shared" si="16"/>
        <v>37759</v>
      </c>
      <c r="H63" s="56">
        <f t="shared" si="16"/>
        <v>537171</v>
      </c>
      <c r="I63" s="42">
        <f t="shared" si="2"/>
        <v>0.001708953015</v>
      </c>
      <c r="J63" s="42">
        <f t="shared" si="3"/>
        <v>0.4816306167</v>
      </c>
      <c r="K63" s="42">
        <f t="shared" si="7"/>
        <v>0.4463681025</v>
      </c>
      <c r="L63" s="42">
        <f t="shared" si="8"/>
        <v>0.07029232777</v>
      </c>
      <c r="M63" s="42">
        <f t="shared" si="9"/>
        <v>1</v>
      </c>
    </row>
    <row r="64" ht="30.0" customHeight="1">
      <c r="A64" s="65" t="s">
        <v>18</v>
      </c>
      <c r="B64" s="64"/>
      <c r="C64" s="25"/>
      <c r="D64" s="219">
        <f>D63/H63</f>
        <v>0.001708953015</v>
      </c>
      <c r="E64" s="219">
        <f>E63/H63</f>
        <v>0.4816306167</v>
      </c>
      <c r="F64" s="219">
        <f>F63/H63</f>
        <v>0.4463681025</v>
      </c>
      <c r="G64" s="219">
        <f>G63/H63</f>
        <v>0.07029232777</v>
      </c>
      <c r="H64" s="219">
        <f>H63/H63</f>
        <v>1</v>
      </c>
      <c r="I64" s="42">
        <f t="shared" si="2"/>
        <v>0.001708953015</v>
      </c>
      <c r="J64" s="42">
        <f t="shared" si="3"/>
        <v>0.4816306167</v>
      </c>
      <c r="K64" s="42">
        <f t="shared" si="7"/>
        <v>0.4463681025</v>
      </c>
      <c r="L64" s="42">
        <f t="shared" si="8"/>
        <v>0.07029232777</v>
      </c>
      <c r="M64" s="42">
        <f t="shared" si="9"/>
        <v>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A6:A21"/>
    <mergeCell ref="A22:C22"/>
    <mergeCell ref="A23:A60"/>
    <mergeCell ref="B51:C51"/>
    <mergeCell ref="B61:C61"/>
    <mergeCell ref="A62:C62"/>
    <mergeCell ref="A63:C63"/>
    <mergeCell ref="A64:C64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3.86"/>
    <col customWidth="1" min="2" max="2" width="10.71"/>
    <col customWidth="1" min="3" max="3" width="59.71"/>
    <col customWidth="1" min="4" max="8" width="12.86"/>
    <col customWidth="1" min="9" max="26" width="8.71"/>
  </cols>
  <sheetData>
    <row r="1">
      <c r="A1" s="66" t="s">
        <v>89</v>
      </c>
    </row>
    <row r="2">
      <c r="A2" s="30" t="s">
        <v>172</v>
      </c>
    </row>
    <row r="3">
      <c r="A3" s="31" t="s">
        <v>91</v>
      </c>
    </row>
    <row r="5" ht="37.5" customHeight="1">
      <c r="A5" s="32" t="s">
        <v>78</v>
      </c>
      <c r="B5" s="32" t="s">
        <v>0</v>
      </c>
      <c r="C5" s="32" t="s">
        <v>1</v>
      </c>
      <c r="D5" s="210" t="s">
        <v>173</v>
      </c>
      <c r="E5" s="210" t="s">
        <v>174</v>
      </c>
      <c r="F5" s="210" t="s">
        <v>175</v>
      </c>
      <c r="G5" s="210" t="s">
        <v>176</v>
      </c>
      <c r="H5" s="210" t="s">
        <v>81</v>
      </c>
      <c r="I5" s="210" t="s">
        <v>177</v>
      </c>
      <c r="J5" s="210" t="s">
        <v>178</v>
      </c>
      <c r="K5" s="210" t="s">
        <v>179</v>
      </c>
      <c r="L5" s="210" t="s">
        <v>180</v>
      </c>
    </row>
    <row r="6" ht="15.0" hidden="1" customHeight="1">
      <c r="A6" s="34" t="s">
        <v>84</v>
      </c>
      <c r="B6" s="4">
        <v>3003.0</v>
      </c>
      <c r="C6" s="5" t="s">
        <v>13</v>
      </c>
      <c r="D6" s="35">
        <v>1155.0</v>
      </c>
      <c r="E6" s="35">
        <v>334.0</v>
      </c>
      <c r="F6" s="35">
        <v>435.0</v>
      </c>
      <c r="G6" s="35">
        <v>882.0</v>
      </c>
      <c r="H6" s="35">
        <f t="shared" ref="H6:H13" si="1">SUM(D6:G6)</f>
        <v>2806</v>
      </c>
      <c r="I6" s="220">
        <f t="shared" ref="I6:I13" si="2">D6/H6</f>
        <v>0.4116179615</v>
      </c>
      <c r="J6" s="220">
        <f t="shared" ref="J6:J13" si="3">E6/H6</f>
        <v>0.1190306486</v>
      </c>
      <c r="K6" s="220">
        <f t="shared" ref="K6:K13" si="4">F6/H6</f>
        <v>0.1550249465</v>
      </c>
      <c r="L6" s="220">
        <f t="shared" ref="L6:L13" si="5">G6/H6</f>
        <v>0.3143264433</v>
      </c>
    </row>
    <row r="7" hidden="1">
      <c r="A7" s="38"/>
      <c r="B7" s="4">
        <v>3005.0</v>
      </c>
      <c r="C7" s="5" t="s">
        <v>19</v>
      </c>
      <c r="D7" s="35">
        <v>1116.0</v>
      </c>
      <c r="E7" s="35">
        <v>743.0</v>
      </c>
      <c r="F7" s="35">
        <v>729.0</v>
      </c>
      <c r="G7" s="35">
        <v>425.0</v>
      </c>
      <c r="H7" s="35">
        <f t="shared" si="1"/>
        <v>3013</v>
      </c>
      <c r="I7" s="220">
        <f t="shared" si="2"/>
        <v>0.3703949552</v>
      </c>
      <c r="J7" s="220">
        <f t="shared" si="3"/>
        <v>0.246598075</v>
      </c>
      <c r="K7" s="220">
        <f t="shared" si="4"/>
        <v>0.2419515433</v>
      </c>
      <c r="L7" s="220">
        <f t="shared" si="5"/>
        <v>0.1410554265</v>
      </c>
    </row>
    <row r="8" hidden="1">
      <c r="A8" s="38"/>
      <c r="B8" s="4">
        <v>3006.0</v>
      </c>
      <c r="C8" s="5" t="s">
        <v>20</v>
      </c>
      <c r="D8" s="35">
        <v>405.0</v>
      </c>
      <c r="E8" s="35">
        <v>839.0</v>
      </c>
      <c r="F8" s="35">
        <v>256.0</v>
      </c>
      <c r="G8" s="35">
        <v>122.0</v>
      </c>
      <c r="H8" s="35">
        <f t="shared" si="1"/>
        <v>1622</v>
      </c>
      <c r="I8" s="220">
        <f t="shared" si="2"/>
        <v>0.2496917386</v>
      </c>
      <c r="J8" s="220">
        <f t="shared" si="3"/>
        <v>0.5172626387</v>
      </c>
      <c r="K8" s="220">
        <f t="shared" si="4"/>
        <v>0.1578298397</v>
      </c>
      <c r="L8" s="220">
        <f t="shared" si="5"/>
        <v>0.07521578298</v>
      </c>
    </row>
    <row r="9" hidden="1">
      <c r="A9" s="38"/>
      <c r="B9" s="4">
        <v>3012.0</v>
      </c>
      <c r="C9" s="5" t="s">
        <v>21</v>
      </c>
      <c r="D9" s="35">
        <v>4627.0</v>
      </c>
      <c r="E9" s="35">
        <v>13240.0</v>
      </c>
      <c r="F9" s="35">
        <v>4651.0</v>
      </c>
      <c r="G9" s="35">
        <v>3588.0</v>
      </c>
      <c r="H9" s="35">
        <f t="shared" si="1"/>
        <v>26106</v>
      </c>
      <c r="I9" s="220">
        <f t="shared" si="2"/>
        <v>0.1772389489</v>
      </c>
      <c r="J9" s="220">
        <f t="shared" si="3"/>
        <v>0.5071631043</v>
      </c>
      <c r="K9" s="220">
        <f t="shared" si="4"/>
        <v>0.1781582778</v>
      </c>
      <c r="L9" s="220">
        <f t="shared" si="5"/>
        <v>0.137439669</v>
      </c>
    </row>
    <row r="10" hidden="1">
      <c r="A10" s="38"/>
      <c r="B10" s="4">
        <v>3023.0</v>
      </c>
      <c r="C10" s="5" t="s">
        <v>85</v>
      </c>
      <c r="D10" s="35">
        <v>14.0</v>
      </c>
      <c r="E10" s="35">
        <v>13.0</v>
      </c>
      <c r="F10" s="35">
        <v>4.0</v>
      </c>
      <c r="G10" s="35">
        <v>1.0</v>
      </c>
      <c r="H10" s="35">
        <f t="shared" si="1"/>
        <v>32</v>
      </c>
      <c r="I10" s="220">
        <f t="shared" si="2"/>
        <v>0.4375</v>
      </c>
      <c r="J10" s="220">
        <f t="shared" si="3"/>
        <v>0.40625</v>
      </c>
      <c r="K10" s="220">
        <f t="shared" si="4"/>
        <v>0.125</v>
      </c>
      <c r="L10" s="220">
        <f t="shared" si="5"/>
        <v>0.03125</v>
      </c>
    </row>
    <row r="11" hidden="1">
      <c r="A11" s="38"/>
      <c r="B11" s="4">
        <v>3024.0</v>
      </c>
      <c r="C11" s="5" t="s">
        <v>22</v>
      </c>
      <c r="D11" s="35">
        <v>1815.0</v>
      </c>
      <c r="E11" s="35">
        <v>1080.0</v>
      </c>
      <c r="F11" s="35">
        <v>460.0</v>
      </c>
      <c r="G11" s="35">
        <v>302.0</v>
      </c>
      <c r="H11" s="35">
        <f t="shared" si="1"/>
        <v>3657</v>
      </c>
      <c r="I11" s="220">
        <f t="shared" si="2"/>
        <v>0.4963084495</v>
      </c>
      <c r="J11" s="220">
        <f t="shared" si="3"/>
        <v>0.2953240361</v>
      </c>
      <c r="K11" s="220">
        <f t="shared" si="4"/>
        <v>0.1257861635</v>
      </c>
      <c r="L11" s="220">
        <f t="shared" si="5"/>
        <v>0.08258135083</v>
      </c>
    </row>
    <row r="12" hidden="1">
      <c r="A12" s="38"/>
      <c r="B12" s="4">
        <v>3038.0</v>
      </c>
      <c r="C12" s="5" t="s">
        <v>23</v>
      </c>
      <c r="D12" s="35">
        <v>79.0</v>
      </c>
      <c r="E12" s="35">
        <v>78.0</v>
      </c>
      <c r="F12" s="35">
        <v>35.0</v>
      </c>
      <c r="G12" s="35">
        <v>8.0</v>
      </c>
      <c r="H12" s="35">
        <f t="shared" si="1"/>
        <v>200</v>
      </c>
      <c r="I12" s="220">
        <f t="shared" si="2"/>
        <v>0.395</v>
      </c>
      <c r="J12" s="220">
        <f t="shared" si="3"/>
        <v>0.39</v>
      </c>
      <c r="K12" s="220">
        <f t="shared" si="4"/>
        <v>0.175</v>
      </c>
      <c r="L12" s="220">
        <f t="shared" si="5"/>
        <v>0.04</v>
      </c>
    </row>
    <row r="13" hidden="1">
      <c r="A13" s="38"/>
      <c r="B13" s="4">
        <v>4002.0</v>
      </c>
      <c r="C13" s="5" t="s">
        <v>24</v>
      </c>
      <c r="D13" s="35">
        <v>5.0</v>
      </c>
      <c r="E13" s="35">
        <v>35.0</v>
      </c>
      <c r="F13" s="35">
        <v>9.0</v>
      </c>
      <c r="G13" s="35">
        <v>14.0</v>
      </c>
      <c r="H13" s="35">
        <f t="shared" si="1"/>
        <v>63</v>
      </c>
      <c r="I13" s="220">
        <f t="shared" si="2"/>
        <v>0.07936507937</v>
      </c>
      <c r="J13" s="220">
        <f t="shared" si="3"/>
        <v>0.5555555556</v>
      </c>
      <c r="K13" s="220">
        <f t="shared" si="4"/>
        <v>0.1428571429</v>
      </c>
      <c r="L13" s="220">
        <f t="shared" si="5"/>
        <v>0.2222222222</v>
      </c>
    </row>
    <row r="14" hidden="1">
      <c r="A14" s="38"/>
      <c r="B14" s="4">
        <v>4007.0</v>
      </c>
      <c r="C14" s="5" t="s">
        <v>25</v>
      </c>
      <c r="D14" s="35">
        <v>663.0</v>
      </c>
      <c r="E14" s="35">
        <v>821.0</v>
      </c>
      <c r="F14" s="35">
        <v>306.0</v>
      </c>
      <c r="G14" s="35">
        <v>578.0</v>
      </c>
      <c r="H14" s="35"/>
      <c r="I14" s="220"/>
      <c r="J14" s="220"/>
      <c r="K14" s="220"/>
      <c r="L14" s="220"/>
    </row>
    <row r="15" hidden="1">
      <c r="A15" s="38"/>
      <c r="B15" s="4">
        <v>4008.0</v>
      </c>
      <c r="C15" s="5" t="s">
        <v>26</v>
      </c>
      <c r="D15" s="35">
        <v>19.0</v>
      </c>
      <c r="E15" s="35">
        <v>159.0</v>
      </c>
      <c r="F15" s="35">
        <v>50.0</v>
      </c>
      <c r="G15" s="35">
        <v>11.0</v>
      </c>
      <c r="H15" s="35">
        <f t="shared" ref="H15:H21" si="6">SUM(D15:G15)</f>
        <v>239</v>
      </c>
      <c r="I15" s="220">
        <f t="shared" ref="I15:I64" si="7">D15/H15</f>
        <v>0.07949790795</v>
      </c>
      <c r="J15" s="220">
        <f t="shared" ref="J15:J64" si="8">E15/H15</f>
        <v>0.6652719665</v>
      </c>
      <c r="K15" s="220">
        <f t="shared" ref="K15:K64" si="9">F15/H15</f>
        <v>0.2092050209</v>
      </c>
      <c r="L15" s="220">
        <f t="shared" ref="L15:L64" si="10">G15/H15</f>
        <v>0.0460251046</v>
      </c>
    </row>
    <row r="16" hidden="1">
      <c r="A16" s="38"/>
      <c r="B16" s="4">
        <v>4016.0</v>
      </c>
      <c r="C16" s="5" t="s">
        <v>27</v>
      </c>
      <c r="D16" s="35">
        <v>210.0</v>
      </c>
      <c r="E16" s="35">
        <v>637.0</v>
      </c>
      <c r="F16" s="35">
        <v>196.0</v>
      </c>
      <c r="G16" s="35">
        <v>243.0</v>
      </c>
      <c r="H16" s="35">
        <f t="shared" si="6"/>
        <v>1286</v>
      </c>
      <c r="I16" s="220">
        <f t="shared" si="7"/>
        <v>0.1632970451</v>
      </c>
      <c r="J16" s="220">
        <f t="shared" si="8"/>
        <v>0.4953343701</v>
      </c>
      <c r="K16" s="220">
        <f t="shared" si="9"/>
        <v>0.1524105754</v>
      </c>
      <c r="L16" s="220">
        <f t="shared" si="10"/>
        <v>0.1889580093</v>
      </c>
    </row>
    <row r="17" hidden="1">
      <c r="A17" s="38"/>
      <c r="B17" s="4">
        <v>4020.0</v>
      </c>
      <c r="C17" s="5" t="s">
        <v>28</v>
      </c>
      <c r="D17" s="35">
        <v>1222.0</v>
      </c>
      <c r="E17" s="35">
        <v>339.0</v>
      </c>
      <c r="F17" s="35">
        <v>34.0</v>
      </c>
      <c r="G17" s="35">
        <v>151.0</v>
      </c>
      <c r="H17" s="35">
        <f t="shared" si="6"/>
        <v>1746</v>
      </c>
      <c r="I17" s="220">
        <f t="shared" si="7"/>
        <v>0.6998854525</v>
      </c>
      <c r="J17" s="220">
        <f t="shared" si="8"/>
        <v>0.1941580756</v>
      </c>
      <c r="K17" s="220">
        <f t="shared" si="9"/>
        <v>0.01947308133</v>
      </c>
      <c r="L17" s="220">
        <f t="shared" si="10"/>
        <v>0.08648339061</v>
      </c>
    </row>
    <row r="18" hidden="1">
      <c r="A18" s="38"/>
      <c r="B18" s="4">
        <v>4023.0</v>
      </c>
      <c r="C18" s="5" t="s">
        <v>29</v>
      </c>
      <c r="D18" s="35">
        <v>32.0</v>
      </c>
      <c r="E18" s="35">
        <v>61.0</v>
      </c>
      <c r="F18" s="35">
        <v>41.0</v>
      </c>
      <c r="G18" s="35">
        <v>79.0</v>
      </c>
      <c r="H18" s="35">
        <f t="shared" si="6"/>
        <v>213</v>
      </c>
      <c r="I18" s="220">
        <f t="shared" si="7"/>
        <v>0.1502347418</v>
      </c>
      <c r="J18" s="220">
        <f t="shared" si="8"/>
        <v>0.2863849765</v>
      </c>
      <c r="K18" s="220">
        <f t="shared" si="9"/>
        <v>0.1924882629</v>
      </c>
      <c r="L18" s="220">
        <f t="shared" si="10"/>
        <v>0.3708920188</v>
      </c>
    </row>
    <row r="19" hidden="1">
      <c r="A19" s="38"/>
      <c r="B19" s="4">
        <v>4024.0</v>
      </c>
      <c r="C19" s="5" t="s">
        <v>30</v>
      </c>
      <c r="D19" s="35">
        <v>10.0</v>
      </c>
      <c r="E19" s="35">
        <v>76.0</v>
      </c>
      <c r="F19" s="35">
        <v>56.0</v>
      </c>
      <c r="G19" s="35">
        <v>64.0</v>
      </c>
      <c r="H19" s="35">
        <f t="shared" si="6"/>
        <v>206</v>
      </c>
      <c r="I19" s="220">
        <f t="shared" si="7"/>
        <v>0.04854368932</v>
      </c>
      <c r="J19" s="220">
        <f t="shared" si="8"/>
        <v>0.3689320388</v>
      </c>
      <c r="K19" s="220">
        <f t="shared" si="9"/>
        <v>0.2718446602</v>
      </c>
      <c r="L19" s="220">
        <f t="shared" si="10"/>
        <v>0.3106796117</v>
      </c>
    </row>
    <row r="20" hidden="1">
      <c r="A20" s="38"/>
      <c r="B20" s="4">
        <v>4033.0</v>
      </c>
      <c r="C20" s="5" t="s">
        <v>31</v>
      </c>
      <c r="D20" s="35">
        <v>412.0</v>
      </c>
      <c r="E20" s="35">
        <v>337.0</v>
      </c>
      <c r="F20" s="35">
        <v>118.0</v>
      </c>
      <c r="G20" s="35">
        <v>58.0</v>
      </c>
      <c r="H20" s="35">
        <f t="shared" si="6"/>
        <v>925</v>
      </c>
      <c r="I20" s="220">
        <f t="shared" si="7"/>
        <v>0.4454054054</v>
      </c>
      <c r="J20" s="220">
        <f t="shared" si="8"/>
        <v>0.3643243243</v>
      </c>
      <c r="K20" s="220">
        <f t="shared" si="9"/>
        <v>0.1275675676</v>
      </c>
      <c r="L20" s="220">
        <f t="shared" si="10"/>
        <v>0.0627027027</v>
      </c>
    </row>
    <row r="21" hidden="1">
      <c r="A21" s="38"/>
      <c r="B21" s="4">
        <v>4071.0</v>
      </c>
      <c r="C21" s="5" t="s">
        <v>32</v>
      </c>
      <c r="D21" s="35">
        <v>56.0</v>
      </c>
      <c r="E21" s="35">
        <v>258.0</v>
      </c>
      <c r="F21" s="35">
        <v>67.0</v>
      </c>
      <c r="G21" s="35">
        <v>14.0</v>
      </c>
      <c r="H21" s="35">
        <f t="shared" si="6"/>
        <v>395</v>
      </c>
      <c r="I21" s="220">
        <f t="shared" si="7"/>
        <v>0.1417721519</v>
      </c>
      <c r="J21" s="220">
        <f t="shared" si="8"/>
        <v>0.653164557</v>
      </c>
      <c r="K21" s="220">
        <f t="shared" si="9"/>
        <v>0.1696202532</v>
      </c>
      <c r="L21" s="220">
        <f t="shared" si="10"/>
        <v>0.03544303797</v>
      </c>
    </row>
    <row r="22" ht="33.0" hidden="1" customHeight="1">
      <c r="A22" s="78" t="s">
        <v>86</v>
      </c>
      <c r="B22" s="64"/>
      <c r="C22" s="25"/>
      <c r="D22" s="56">
        <f t="shared" ref="D22:H22" si="11">SUM(D6:D21)</f>
        <v>11840</v>
      </c>
      <c r="E22" s="56">
        <f t="shared" si="11"/>
        <v>19050</v>
      </c>
      <c r="F22" s="56">
        <f t="shared" si="11"/>
        <v>7447</v>
      </c>
      <c r="G22" s="56">
        <f t="shared" si="11"/>
        <v>6540</v>
      </c>
      <c r="H22" s="56">
        <f t="shared" si="11"/>
        <v>42509</v>
      </c>
      <c r="I22" s="220">
        <f t="shared" si="7"/>
        <v>0.2785292526</v>
      </c>
      <c r="J22" s="220">
        <f t="shared" si="8"/>
        <v>0.4481403938</v>
      </c>
      <c r="K22" s="220">
        <f t="shared" si="9"/>
        <v>0.1751864311</v>
      </c>
      <c r="L22" s="220">
        <f t="shared" si="10"/>
        <v>0.153849773</v>
      </c>
    </row>
    <row r="23" ht="15.0" customHeight="1">
      <c r="A23" s="34" t="s">
        <v>87</v>
      </c>
      <c r="B23" s="4">
        <v>6100.0</v>
      </c>
      <c r="C23" s="5" t="s">
        <v>33</v>
      </c>
      <c r="D23" s="35">
        <v>30937.0</v>
      </c>
      <c r="E23" s="35">
        <v>14845.0</v>
      </c>
      <c r="F23" s="35">
        <v>3806.0</v>
      </c>
      <c r="G23" s="35">
        <v>2884.0</v>
      </c>
      <c r="H23" s="35">
        <f t="shared" ref="H23:H50" si="12">SUM(D23:G23)</f>
        <v>52472</v>
      </c>
      <c r="I23" s="220">
        <f t="shared" si="7"/>
        <v>0.5895906388</v>
      </c>
      <c r="J23" s="220">
        <f t="shared" si="8"/>
        <v>0.2829127916</v>
      </c>
      <c r="K23" s="220">
        <f t="shared" si="9"/>
        <v>0.07253392285</v>
      </c>
      <c r="L23" s="220">
        <f t="shared" si="10"/>
        <v>0.05496264674</v>
      </c>
    </row>
    <row r="24" ht="15.75" customHeight="1">
      <c r="A24" s="38"/>
      <c r="B24" s="4">
        <v>6101.0</v>
      </c>
      <c r="C24" s="5" t="s">
        <v>34</v>
      </c>
      <c r="D24" s="35">
        <v>16494.0</v>
      </c>
      <c r="E24" s="35">
        <v>6003.0</v>
      </c>
      <c r="F24" s="35">
        <v>1629.0</v>
      </c>
      <c r="G24" s="35">
        <v>1736.0</v>
      </c>
      <c r="H24" s="35">
        <f t="shared" si="12"/>
        <v>25862</v>
      </c>
      <c r="I24" s="220">
        <f t="shared" si="7"/>
        <v>0.6377697007</v>
      </c>
      <c r="J24" s="220">
        <f t="shared" si="8"/>
        <v>0.232116619</v>
      </c>
      <c r="K24" s="220">
        <f t="shared" si="9"/>
        <v>0.06298816797</v>
      </c>
      <c r="L24" s="220">
        <f t="shared" si="10"/>
        <v>0.06712551233</v>
      </c>
    </row>
    <row r="25" ht="15.75" customHeight="1">
      <c r="A25" s="38"/>
      <c r="B25" s="4">
        <v>6102.0</v>
      </c>
      <c r="C25" s="5" t="s">
        <v>35</v>
      </c>
      <c r="D25" s="35">
        <v>6181.0</v>
      </c>
      <c r="E25" s="35">
        <v>4511.0</v>
      </c>
      <c r="F25" s="35">
        <v>924.0</v>
      </c>
      <c r="G25" s="35">
        <v>1455.0</v>
      </c>
      <c r="H25" s="35">
        <f t="shared" si="12"/>
        <v>13071</v>
      </c>
      <c r="I25" s="220">
        <f t="shared" si="7"/>
        <v>0.4728788922</v>
      </c>
      <c r="J25" s="220">
        <f t="shared" si="8"/>
        <v>0.3451151404</v>
      </c>
      <c r="K25" s="220">
        <f t="shared" si="9"/>
        <v>0.07069084232</v>
      </c>
      <c r="L25" s="220">
        <f t="shared" si="10"/>
        <v>0.1113151251</v>
      </c>
    </row>
    <row r="26" ht="15.75" customHeight="1">
      <c r="A26" s="38"/>
      <c r="B26" s="4">
        <v>6103.0</v>
      </c>
      <c r="C26" s="5" t="s">
        <v>36</v>
      </c>
      <c r="D26" s="35">
        <v>8655.0</v>
      </c>
      <c r="E26" s="35">
        <v>4502.0</v>
      </c>
      <c r="F26" s="35">
        <v>970.0</v>
      </c>
      <c r="G26" s="35">
        <v>1325.0</v>
      </c>
      <c r="H26" s="35">
        <f t="shared" si="12"/>
        <v>15452</v>
      </c>
      <c r="I26" s="220">
        <f t="shared" si="7"/>
        <v>0.5601216671</v>
      </c>
      <c r="J26" s="220">
        <f t="shared" si="8"/>
        <v>0.29135387</v>
      </c>
      <c r="K26" s="220">
        <f t="shared" si="9"/>
        <v>0.0627750453</v>
      </c>
      <c r="L26" s="220">
        <f t="shared" si="10"/>
        <v>0.08574941755</v>
      </c>
    </row>
    <row r="27" ht="15.75" customHeight="1">
      <c r="A27" s="38"/>
      <c r="B27" s="4">
        <v>6104.0</v>
      </c>
      <c r="C27" s="5" t="s">
        <v>37</v>
      </c>
      <c r="D27" s="35">
        <v>14907.0</v>
      </c>
      <c r="E27" s="35">
        <v>5381.0</v>
      </c>
      <c r="F27" s="35">
        <v>1218.0</v>
      </c>
      <c r="G27" s="35">
        <v>953.0</v>
      </c>
      <c r="H27" s="35">
        <f t="shared" si="12"/>
        <v>22459</v>
      </c>
      <c r="I27" s="220">
        <f t="shared" si="7"/>
        <v>0.6637428203</v>
      </c>
      <c r="J27" s="220">
        <f t="shared" si="8"/>
        <v>0.2395921457</v>
      </c>
      <c r="K27" s="220">
        <f t="shared" si="9"/>
        <v>0.05423215637</v>
      </c>
      <c r="L27" s="220">
        <f t="shared" si="10"/>
        <v>0.04243287769</v>
      </c>
    </row>
    <row r="28" ht="15.75" customHeight="1">
      <c r="A28" s="38"/>
      <c r="B28" s="4">
        <v>6105.0</v>
      </c>
      <c r="C28" s="5" t="s">
        <v>39</v>
      </c>
      <c r="D28" s="35">
        <v>7495.0</v>
      </c>
      <c r="E28" s="35">
        <v>3687.0</v>
      </c>
      <c r="F28" s="35">
        <v>1087.0</v>
      </c>
      <c r="G28" s="35">
        <v>1151.0</v>
      </c>
      <c r="H28" s="35">
        <f t="shared" si="12"/>
        <v>13420</v>
      </c>
      <c r="I28" s="220">
        <f t="shared" si="7"/>
        <v>0.5584947839</v>
      </c>
      <c r="J28" s="220">
        <f t="shared" si="8"/>
        <v>0.2747391952</v>
      </c>
      <c r="K28" s="220">
        <f t="shared" si="9"/>
        <v>0.08099850969</v>
      </c>
      <c r="L28" s="220">
        <f t="shared" si="10"/>
        <v>0.08576751118</v>
      </c>
    </row>
    <row r="29" ht="15.75" customHeight="1">
      <c r="A29" s="38"/>
      <c r="B29" s="4">
        <v>6106.0</v>
      </c>
      <c r="C29" s="5" t="s">
        <v>40</v>
      </c>
      <c r="D29" s="35">
        <v>3603.0</v>
      </c>
      <c r="E29" s="35">
        <v>3315.0</v>
      </c>
      <c r="F29" s="35">
        <v>589.0</v>
      </c>
      <c r="G29" s="35">
        <v>500.0</v>
      </c>
      <c r="H29" s="35">
        <f t="shared" si="12"/>
        <v>8007</v>
      </c>
      <c r="I29" s="220">
        <f t="shared" si="7"/>
        <v>0.4499812664</v>
      </c>
      <c r="J29" s="220">
        <f t="shared" si="8"/>
        <v>0.4140127389</v>
      </c>
      <c r="K29" s="220">
        <f t="shared" si="9"/>
        <v>0.07356063444</v>
      </c>
      <c r="L29" s="220">
        <f t="shared" si="10"/>
        <v>0.06244536031</v>
      </c>
    </row>
    <row r="30" ht="15.75" customHeight="1">
      <c r="A30" s="38"/>
      <c r="B30" s="4">
        <v>6107.0</v>
      </c>
      <c r="C30" s="5" t="s">
        <v>41</v>
      </c>
      <c r="D30" s="35">
        <v>5085.0</v>
      </c>
      <c r="E30" s="35">
        <v>5294.0</v>
      </c>
      <c r="F30" s="35">
        <v>893.0</v>
      </c>
      <c r="G30" s="35">
        <v>961.0</v>
      </c>
      <c r="H30" s="35">
        <f t="shared" si="12"/>
        <v>12233</v>
      </c>
      <c r="I30" s="220">
        <f t="shared" si="7"/>
        <v>0.4156789013</v>
      </c>
      <c r="J30" s="220">
        <f t="shared" si="8"/>
        <v>0.4327638355</v>
      </c>
      <c r="K30" s="220">
        <f t="shared" si="9"/>
        <v>0.07299926429</v>
      </c>
      <c r="L30" s="220">
        <f t="shared" si="10"/>
        <v>0.07855799886</v>
      </c>
    </row>
    <row r="31" ht="15.75" customHeight="1">
      <c r="A31" s="38"/>
      <c r="B31" s="4">
        <v>6108.0</v>
      </c>
      <c r="C31" s="5" t="s">
        <v>42</v>
      </c>
      <c r="D31" s="35">
        <v>10971.0</v>
      </c>
      <c r="E31" s="35">
        <v>4787.0</v>
      </c>
      <c r="F31" s="35">
        <v>1277.0</v>
      </c>
      <c r="G31" s="35">
        <v>2123.0</v>
      </c>
      <c r="H31" s="35">
        <f t="shared" si="12"/>
        <v>19158</v>
      </c>
      <c r="I31" s="220">
        <f t="shared" si="7"/>
        <v>0.5726589414</v>
      </c>
      <c r="J31" s="220">
        <f t="shared" si="8"/>
        <v>0.2498695062</v>
      </c>
      <c r="K31" s="220">
        <f t="shared" si="9"/>
        <v>0.06665622716</v>
      </c>
      <c r="L31" s="220">
        <f t="shared" si="10"/>
        <v>0.1108153252</v>
      </c>
    </row>
    <row r="32" ht="15.75" customHeight="1">
      <c r="A32" s="38"/>
      <c r="B32" s="4">
        <v>6109.0</v>
      </c>
      <c r="C32" s="5" t="s">
        <v>43</v>
      </c>
      <c r="D32" s="35">
        <v>4663.0</v>
      </c>
      <c r="E32" s="35">
        <v>3336.0</v>
      </c>
      <c r="F32" s="35">
        <v>934.0</v>
      </c>
      <c r="G32" s="35">
        <v>1037.0</v>
      </c>
      <c r="H32" s="35">
        <f t="shared" si="12"/>
        <v>9970</v>
      </c>
      <c r="I32" s="220">
        <f t="shared" si="7"/>
        <v>0.4677031093</v>
      </c>
      <c r="J32" s="220">
        <f t="shared" si="8"/>
        <v>0.3346038114</v>
      </c>
      <c r="K32" s="220">
        <f t="shared" si="9"/>
        <v>0.09368104313</v>
      </c>
      <c r="L32" s="220">
        <f t="shared" si="10"/>
        <v>0.1040120361</v>
      </c>
    </row>
    <row r="33" ht="15.75" customHeight="1">
      <c r="A33" s="38"/>
      <c r="B33" s="4">
        <v>6110.0</v>
      </c>
      <c r="C33" s="5" t="s">
        <v>44</v>
      </c>
      <c r="D33" s="35">
        <v>11937.0</v>
      </c>
      <c r="E33" s="35">
        <v>5251.0</v>
      </c>
      <c r="F33" s="35">
        <v>1209.0</v>
      </c>
      <c r="G33" s="35">
        <v>1757.0</v>
      </c>
      <c r="H33" s="35">
        <f t="shared" si="12"/>
        <v>20154</v>
      </c>
      <c r="I33" s="220">
        <f t="shared" si="7"/>
        <v>0.5922893718</v>
      </c>
      <c r="J33" s="220">
        <f t="shared" si="8"/>
        <v>0.2605438126</v>
      </c>
      <c r="K33" s="220">
        <f t="shared" si="9"/>
        <v>0.05998809169</v>
      </c>
      <c r="L33" s="220">
        <f t="shared" si="10"/>
        <v>0.08717872383</v>
      </c>
    </row>
    <row r="34" ht="15.75" customHeight="1">
      <c r="A34" s="38"/>
      <c r="B34" s="4">
        <v>6111.0</v>
      </c>
      <c r="C34" s="5" t="s">
        <v>45</v>
      </c>
      <c r="D34" s="35">
        <v>6426.0</v>
      </c>
      <c r="E34" s="35">
        <v>3835.0</v>
      </c>
      <c r="F34" s="35">
        <v>994.0</v>
      </c>
      <c r="G34" s="35">
        <v>1156.0</v>
      </c>
      <c r="H34" s="35">
        <f t="shared" si="12"/>
        <v>12411</v>
      </c>
      <c r="I34" s="220">
        <f t="shared" si="7"/>
        <v>0.5177664975</v>
      </c>
      <c r="J34" s="220">
        <f t="shared" si="8"/>
        <v>0.3090000806</v>
      </c>
      <c r="K34" s="220">
        <f t="shared" si="9"/>
        <v>0.08009024253</v>
      </c>
      <c r="L34" s="220">
        <f t="shared" si="10"/>
        <v>0.09314317944</v>
      </c>
    </row>
    <row r="35" ht="15.75" customHeight="1">
      <c r="A35" s="38"/>
      <c r="B35" s="4">
        <v>6112.0</v>
      </c>
      <c r="C35" s="5" t="s">
        <v>46</v>
      </c>
      <c r="D35" s="35">
        <v>5047.0</v>
      </c>
      <c r="E35" s="35">
        <v>2940.0</v>
      </c>
      <c r="F35" s="35">
        <v>957.0</v>
      </c>
      <c r="G35" s="35">
        <v>928.0</v>
      </c>
      <c r="H35" s="35">
        <f t="shared" si="12"/>
        <v>9872</v>
      </c>
      <c r="I35" s="220">
        <f t="shared" si="7"/>
        <v>0.5112439222</v>
      </c>
      <c r="J35" s="220">
        <f t="shared" si="8"/>
        <v>0.2978119935</v>
      </c>
      <c r="K35" s="220">
        <f t="shared" si="9"/>
        <v>0.09694084279</v>
      </c>
      <c r="L35" s="220">
        <f t="shared" si="10"/>
        <v>0.09400324149</v>
      </c>
    </row>
    <row r="36" ht="15.75" customHeight="1">
      <c r="A36" s="38"/>
      <c r="B36" s="4">
        <v>6113.0</v>
      </c>
      <c r="C36" s="5" t="s">
        <v>47</v>
      </c>
      <c r="D36" s="35">
        <v>11311.0</v>
      </c>
      <c r="E36" s="35">
        <v>4647.0</v>
      </c>
      <c r="F36" s="35">
        <v>1172.0</v>
      </c>
      <c r="G36" s="35">
        <v>1343.0</v>
      </c>
      <c r="H36" s="35">
        <f t="shared" si="12"/>
        <v>18473</v>
      </c>
      <c r="I36" s="220">
        <f t="shared" si="7"/>
        <v>0.612299031</v>
      </c>
      <c r="J36" s="220">
        <f t="shared" si="8"/>
        <v>0.2515563254</v>
      </c>
      <c r="K36" s="220">
        <f t="shared" si="9"/>
        <v>0.06344394522</v>
      </c>
      <c r="L36" s="220">
        <f t="shared" si="10"/>
        <v>0.07270069832</v>
      </c>
    </row>
    <row r="37" ht="15.75" customHeight="1">
      <c r="A37" s="38"/>
      <c r="B37" s="4">
        <v>6114.0</v>
      </c>
      <c r="C37" s="5" t="s">
        <v>48</v>
      </c>
      <c r="D37" s="35">
        <v>4372.0</v>
      </c>
      <c r="E37" s="35">
        <v>5250.0</v>
      </c>
      <c r="F37" s="35">
        <v>895.0</v>
      </c>
      <c r="G37" s="35">
        <v>834.0</v>
      </c>
      <c r="H37" s="35">
        <f t="shared" si="12"/>
        <v>11351</v>
      </c>
      <c r="I37" s="220">
        <f t="shared" si="7"/>
        <v>0.3851643027</v>
      </c>
      <c r="J37" s="220">
        <f t="shared" si="8"/>
        <v>0.4625143159</v>
      </c>
      <c r="K37" s="220">
        <f t="shared" si="9"/>
        <v>0.07884767862</v>
      </c>
      <c r="L37" s="220">
        <f t="shared" si="10"/>
        <v>0.07347370276</v>
      </c>
    </row>
    <row r="38" ht="15.75" customHeight="1">
      <c r="A38" s="38"/>
      <c r="B38" s="4">
        <v>6115.0</v>
      </c>
      <c r="C38" s="5" t="s">
        <v>49</v>
      </c>
      <c r="D38" s="35">
        <v>5045.0</v>
      </c>
      <c r="E38" s="35">
        <v>4878.0</v>
      </c>
      <c r="F38" s="35">
        <v>853.0</v>
      </c>
      <c r="G38" s="35">
        <v>964.0</v>
      </c>
      <c r="H38" s="35">
        <f t="shared" si="12"/>
        <v>11740</v>
      </c>
      <c r="I38" s="220">
        <f t="shared" si="7"/>
        <v>0.4297274276</v>
      </c>
      <c r="J38" s="220">
        <f t="shared" si="8"/>
        <v>0.4155025554</v>
      </c>
      <c r="K38" s="220">
        <f t="shared" si="9"/>
        <v>0.07265758092</v>
      </c>
      <c r="L38" s="220">
        <f t="shared" si="10"/>
        <v>0.08211243612</v>
      </c>
    </row>
    <row r="39" ht="15.75" customHeight="1">
      <c r="A39" s="38"/>
      <c r="B39" s="4">
        <v>6116.0</v>
      </c>
      <c r="C39" s="5" t="s">
        <v>50</v>
      </c>
      <c r="D39" s="35">
        <v>6179.0</v>
      </c>
      <c r="E39" s="35">
        <v>4246.0</v>
      </c>
      <c r="F39" s="35">
        <v>661.0</v>
      </c>
      <c r="G39" s="35">
        <v>1002.0</v>
      </c>
      <c r="H39" s="35">
        <f t="shared" si="12"/>
        <v>12088</v>
      </c>
      <c r="I39" s="220">
        <f t="shared" si="7"/>
        <v>0.5111681006</v>
      </c>
      <c r="J39" s="220">
        <f t="shared" si="8"/>
        <v>0.3512574454</v>
      </c>
      <c r="K39" s="220">
        <f t="shared" si="9"/>
        <v>0.05468232958</v>
      </c>
      <c r="L39" s="220">
        <f t="shared" si="10"/>
        <v>0.08289212442</v>
      </c>
    </row>
    <row r="40" ht="15.75" customHeight="1">
      <c r="A40" s="38"/>
      <c r="B40" s="4">
        <v>6117.0</v>
      </c>
      <c r="C40" s="5" t="s">
        <v>51</v>
      </c>
      <c r="D40" s="35">
        <v>4623.0</v>
      </c>
      <c r="E40" s="35">
        <v>2276.0</v>
      </c>
      <c r="F40" s="35">
        <v>643.0</v>
      </c>
      <c r="G40" s="35">
        <v>931.0</v>
      </c>
      <c r="H40" s="35">
        <f t="shared" si="12"/>
        <v>8473</v>
      </c>
      <c r="I40" s="220">
        <f t="shared" si="7"/>
        <v>0.5456154845</v>
      </c>
      <c r="J40" s="220">
        <f t="shared" si="8"/>
        <v>0.2686179629</v>
      </c>
      <c r="K40" s="220">
        <f t="shared" si="9"/>
        <v>0.07588811519</v>
      </c>
      <c r="L40" s="220">
        <f t="shared" si="10"/>
        <v>0.1098784374</v>
      </c>
    </row>
    <row r="41" ht="15.75" customHeight="1">
      <c r="A41" s="38"/>
      <c r="B41" s="4">
        <v>6118.0</v>
      </c>
      <c r="C41" s="5" t="s">
        <v>52</v>
      </c>
      <c r="D41" s="35">
        <v>3357.0</v>
      </c>
      <c r="E41" s="35">
        <v>814.0</v>
      </c>
      <c r="F41" s="35">
        <v>234.0</v>
      </c>
      <c r="G41" s="35">
        <v>271.0</v>
      </c>
      <c r="H41" s="35">
        <f t="shared" si="12"/>
        <v>4676</v>
      </c>
      <c r="I41" s="220">
        <f t="shared" si="7"/>
        <v>0.7179213003</v>
      </c>
      <c r="J41" s="220">
        <f t="shared" si="8"/>
        <v>0.1740804106</v>
      </c>
      <c r="K41" s="220">
        <f t="shared" si="9"/>
        <v>0.0500427716</v>
      </c>
      <c r="L41" s="220">
        <f t="shared" si="10"/>
        <v>0.05795551754</v>
      </c>
    </row>
    <row r="42" ht="15.75" customHeight="1">
      <c r="A42" s="38"/>
      <c r="B42" s="4">
        <v>6171.0</v>
      </c>
      <c r="C42" s="5" t="s">
        <v>53</v>
      </c>
      <c r="D42" s="35">
        <v>7835.0</v>
      </c>
      <c r="E42" s="35">
        <v>5887.0</v>
      </c>
      <c r="F42" s="35">
        <v>1243.0</v>
      </c>
      <c r="G42" s="35">
        <v>1061.0</v>
      </c>
      <c r="H42" s="35">
        <f t="shared" si="12"/>
        <v>16026</v>
      </c>
      <c r="I42" s="220">
        <f t="shared" si="7"/>
        <v>0.4888930488</v>
      </c>
      <c r="J42" s="220">
        <f t="shared" si="8"/>
        <v>0.3673405716</v>
      </c>
      <c r="K42" s="220">
        <f t="shared" si="9"/>
        <v>0.07756146262</v>
      </c>
      <c r="L42" s="220">
        <f t="shared" si="10"/>
        <v>0.06620491701</v>
      </c>
    </row>
    <row r="43" ht="15.75" customHeight="1">
      <c r="A43" s="38"/>
      <c r="B43" s="4">
        <v>6172.0</v>
      </c>
      <c r="C43" s="5" t="s">
        <v>54</v>
      </c>
      <c r="D43" s="35">
        <v>3395.0</v>
      </c>
      <c r="E43" s="35">
        <v>3380.0</v>
      </c>
      <c r="F43" s="35">
        <v>539.0</v>
      </c>
      <c r="G43" s="35">
        <v>521.0</v>
      </c>
      <c r="H43" s="35">
        <f t="shared" si="12"/>
        <v>7835</v>
      </c>
      <c r="I43" s="220">
        <f t="shared" si="7"/>
        <v>0.4333120613</v>
      </c>
      <c r="J43" s="220">
        <f t="shared" si="8"/>
        <v>0.431397575</v>
      </c>
      <c r="K43" s="220">
        <f t="shared" si="9"/>
        <v>0.06879387364</v>
      </c>
      <c r="L43" s="220">
        <f t="shared" si="10"/>
        <v>0.06649649011</v>
      </c>
    </row>
    <row r="44" ht="15.75" customHeight="1">
      <c r="A44" s="38"/>
      <c r="B44" s="4">
        <v>6173.0</v>
      </c>
      <c r="C44" s="5" t="s">
        <v>55</v>
      </c>
      <c r="D44" s="35">
        <v>1252.0</v>
      </c>
      <c r="E44" s="35">
        <v>1808.0</v>
      </c>
      <c r="F44" s="35">
        <v>352.0</v>
      </c>
      <c r="G44" s="35">
        <v>230.0</v>
      </c>
      <c r="H44" s="35">
        <f t="shared" si="12"/>
        <v>3642</v>
      </c>
      <c r="I44" s="220">
        <f t="shared" si="7"/>
        <v>0.3437671609</v>
      </c>
      <c r="J44" s="220">
        <f t="shared" si="8"/>
        <v>0.4964305327</v>
      </c>
      <c r="K44" s="220">
        <f t="shared" si="9"/>
        <v>0.0966501922</v>
      </c>
      <c r="L44" s="220">
        <f t="shared" si="10"/>
        <v>0.06315211422</v>
      </c>
    </row>
    <row r="45" ht="15.75" customHeight="1">
      <c r="A45" s="38"/>
      <c r="B45" s="4">
        <v>6174.0</v>
      </c>
      <c r="C45" s="5" t="s">
        <v>56</v>
      </c>
      <c r="D45" s="35">
        <v>2817.0</v>
      </c>
      <c r="E45" s="35">
        <v>2185.0</v>
      </c>
      <c r="F45" s="35">
        <v>417.0</v>
      </c>
      <c r="G45" s="35">
        <v>353.0</v>
      </c>
      <c r="H45" s="35">
        <f t="shared" si="12"/>
        <v>5772</v>
      </c>
      <c r="I45" s="220">
        <f t="shared" si="7"/>
        <v>0.488045738</v>
      </c>
      <c r="J45" s="220">
        <f t="shared" si="8"/>
        <v>0.3785516286</v>
      </c>
      <c r="K45" s="220">
        <f t="shared" si="9"/>
        <v>0.07224532225</v>
      </c>
      <c r="L45" s="220">
        <f t="shared" si="10"/>
        <v>0.06115731116</v>
      </c>
    </row>
    <row r="46" ht="15.75" customHeight="1">
      <c r="A46" s="38"/>
      <c r="B46" s="4">
        <v>6175.0</v>
      </c>
      <c r="C46" s="5" t="s">
        <v>57</v>
      </c>
      <c r="D46" s="35">
        <v>12716.0</v>
      </c>
      <c r="E46" s="35">
        <v>4714.0</v>
      </c>
      <c r="F46" s="35">
        <v>1050.0</v>
      </c>
      <c r="G46" s="35">
        <v>767.0</v>
      </c>
      <c r="H46" s="35">
        <f t="shared" si="12"/>
        <v>19247</v>
      </c>
      <c r="I46" s="220">
        <f t="shared" si="7"/>
        <v>0.6606743908</v>
      </c>
      <c r="J46" s="220">
        <f t="shared" si="8"/>
        <v>0.2449212864</v>
      </c>
      <c r="K46" s="220">
        <f t="shared" si="9"/>
        <v>0.05455395646</v>
      </c>
      <c r="L46" s="220">
        <f t="shared" si="10"/>
        <v>0.03985036629</v>
      </c>
    </row>
    <row r="47" ht="15.75" customHeight="1">
      <c r="A47" s="38"/>
      <c r="B47" s="4">
        <v>6176.0</v>
      </c>
      <c r="C47" s="5" t="s">
        <v>58</v>
      </c>
      <c r="D47" s="35">
        <v>3172.0</v>
      </c>
      <c r="E47" s="35">
        <v>2733.0</v>
      </c>
      <c r="F47" s="35">
        <v>828.0</v>
      </c>
      <c r="G47" s="35">
        <v>509.0</v>
      </c>
      <c r="H47" s="35">
        <f t="shared" si="12"/>
        <v>7242</v>
      </c>
      <c r="I47" s="220">
        <f t="shared" si="7"/>
        <v>0.4380005523</v>
      </c>
      <c r="J47" s="220">
        <f t="shared" si="8"/>
        <v>0.3773819387</v>
      </c>
      <c r="K47" s="220">
        <f t="shared" si="9"/>
        <v>0.1143330572</v>
      </c>
      <c r="L47" s="220">
        <f t="shared" si="10"/>
        <v>0.07028445181</v>
      </c>
    </row>
    <row r="48" ht="15.75" customHeight="1">
      <c r="A48" s="38"/>
      <c r="B48" s="4">
        <v>6177.0</v>
      </c>
      <c r="C48" s="5" t="s">
        <v>59</v>
      </c>
      <c r="D48" s="35">
        <v>3534.0</v>
      </c>
      <c r="E48" s="35">
        <v>2106.0</v>
      </c>
      <c r="F48" s="35">
        <v>321.0</v>
      </c>
      <c r="G48" s="35">
        <v>350.0</v>
      </c>
      <c r="H48" s="35">
        <f t="shared" si="12"/>
        <v>6311</v>
      </c>
      <c r="I48" s="220">
        <f t="shared" si="7"/>
        <v>0.5599746474</v>
      </c>
      <c r="J48" s="220">
        <f t="shared" si="8"/>
        <v>0.3337030582</v>
      </c>
      <c r="K48" s="220">
        <f t="shared" si="9"/>
        <v>0.05086357154</v>
      </c>
      <c r="L48" s="220">
        <f t="shared" si="10"/>
        <v>0.05545872286</v>
      </c>
    </row>
    <row r="49" ht="15.75" customHeight="1">
      <c r="A49" s="38"/>
      <c r="B49" s="4">
        <v>6178.0</v>
      </c>
      <c r="C49" s="5" t="s">
        <v>60</v>
      </c>
      <c r="D49" s="35">
        <v>2479.0</v>
      </c>
      <c r="E49" s="35">
        <v>2770.0</v>
      </c>
      <c r="F49" s="35">
        <v>608.0</v>
      </c>
      <c r="G49" s="35">
        <v>609.0</v>
      </c>
      <c r="H49" s="35">
        <f t="shared" si="12"/>
        <v>6466</v>
      </c>
      <c r="I49" s="220">
        <f t="shared" si="7"/>
        <v>0.3833900402</v>
      </c>
      <c r="J49" s="220">
        <f t="shared" si="8"/>
        <v>0.4283946799</v>
      </c>
      <c r="K49" s="220">
        <f t="shared" si="9"/>
        <v>0.0940303124</v>
      </c>
      <c r="L49" s="220">
        <f t="shared" si="10"/>
        <v>0.09418496752</v>
      </c>
    </row>
    <row r="50" ht="15.75" customHeight="1">
      <c r="A50" s="38"/>
      <c r="B50" s="4">
        <v>6179.0</v>
      </c>
      <c r="C50" s="5" t="s">
        <v>61</v>
      </c>
      <c r="D50" s="35">
        <v>3094.0</v>
      </c>
      <c r="E50" s="35">
        <v>1382.0</v>
      </c>
      <c r="F50" s="35">
        <v>255.0</v>
      </c>
      <c r="G50" s="35">
        <v>130.0</v>
      </c>
      <c r="H50" s="35">
        <f t="shared" si="12"/>
        <v>4861</v>
      </c>
      <c r="I50" s="220">
        <f t="shared" si="7"/>
        <v>0.6364945484</v>
      </c>
      <c r="J50" s="220">
        <f t="shared" si="8"/>
        <v>0.2843036412</v>
      </c>
      <c r="K50" s="220">
        <f t="shared" si="9"/>
        <v>0.0524583419</v>
      </c>
      <c r="L50" s="220">
        <f t="shared" si="10"/>
        <v>0.02674346842</v>
      </c>
    </row>
    <row r="51" ht="15.75" customHeight="1">
      <c r="A51" s="38"/>
      <c r="B51" s="24" t="s">
        <v>62</v>
      </c>
      <c r="C51" s="25"/>
      <c r="D51" s="56">
        <f t="shared" ref="D51:H51" si="13">SUM(D23:D50)</f>
        <v>207582</v>
      </c>
      <c r="E51" s="56">
        <f t="shared" si="13"/>
        <v>116763</v>
      </c>
      <c r="F51" s="56">
        <f t="shared" si="13"/>
        <v>26558</v>
      </c>
      <c r="G51" s="56">
        <f t="shared" si="13"/>
        <v>27841</v>
      </c>
      <c r="H51" s="56">
        <f t="shared" si="13"/>
        <v>378744</v>
      </c>
      <c r="I51" s="221">
        <f t="shared" si="7"/>
        <v>0.5480799696</v>
      </c>
      <c r="J51" s="221">
        <f t="shared" si="8"/>
        <v>0.3082900323</v>
      </c>
      <c r="K51" s="221">
        <f t="shared" si="9"/>
        <v>0.07012124284</v>
      </c>
      <c r="L51" s="221">
        <f t="shared" si="10"/>
        <v>0.07350875525</v>
      </c>
    </row>
    <row r="52" ht="15.75" customHeight="1">
      <c r="A52" s="38"/>
      <c r="B52" s="4">
        <v>6200.0</v>
      </c>
      <c r="C52" s="5" t="s">
        <v>63</v>
      </c>
      <c r="D52" s="35">
        <v>14140.0</v>
      </c>
      <c r="E52" s="35">
        <v>5272.0</v>
      </c>
      <c r="F52" s="35">
        <v>1799.0</v>
      </c>
      <c r="G52" s="35">
        <v>444.0</v>
      </c>
      <c r="H52" s="35">
        <f t="shared" ref="H52:H60" si="14">SUM(D52:G52)</f>
        <v>21655</v>
      </c>
      <c r="I52" s="220">
        <f t="shared" si="7"/>
        <v>0.6529669822</v>
      </c>
      <c r="J52" s="220">
        <f t="shared" si="8"/>
        <v>0.2434541676</v>
      </c>
      <c r="K52" s="220">
        <f t="shared" si="9"/>
        <v>0.08307550219</v>
      </c>
      <c r="L52" s="220">
        <f t="shared" si="10"/>
        <v>0.02050334796</v>
      </c>
    </row>
    <row r="53" ht="15.75" customHeight="1">
      <c r="A53" s="38"/>
      <c r="B53" s="4">
        <v>6201.0</v>
      </c>
      <c r="C53" s="5" t="s">
        <v>64</v>
      </c>
      <c r="D53" s="35">
        <v>3979.0</v>
      </c>
      <c r="E53" s="35">
        <v>4761.0</v>
      </c>
      <c r="F53" s="35">
        <v>721.0</v>
      </c>
      <c r="G53" s="35">
        <v>710.0</v>
      </c>
      <c r="H53" s="35">
        <f t="shared" si="14"/>
        <v>10171</v>
      </c>
      <c r="I53" s="220">
        <f t="shared" si="7"/>
        <v>0.3912103038</v>
      </c>
      <c r="J53" s="220">
        <f t="shared" si="8"/>
        <v>0.4680955658</v>
      </c>
      <c r="K53" s="220">
        <f t="shared" si="9"/>
        <v>0.07088781831</v>
      </c>
      <c r="L53" s="220">
        <f t="shared" si="10"/>
        <v>0.06980631206</v>
      </c>
    </row>
    <row r="54" ht="15.75" customHeight="1">
      <c r="A54" s="38"/>
      <c r="B54" s="4">
        <v>6202.0</v>
      </c>
      <c r="C54" s="5" t="s">
        <v>65</v>
      </c>
      <c r="D54" s="35">
        <v>6344.0</v>
      </c>
      <c r="E54" s="35">
        <v>4693.0</v>
      </c>
      <c r="F54" s="35">
        <v>737.0</v>
      </c>
      <c r="G54" s="35">
        <v>861.0</v>
      </c>
      <c r="H54" s="35">
        <f t="shared" si="14"/>
        <v>12635</v>
      </c>
      <c r="I54" s="220">
        <f t="shared" si="7"/>
        <v>0.5020973486</v>
      </c>
      <c r="J54" s="220">
        <f t="shared" si="8"/>
        <v>0.3714285714</v>
      </c>
      <c r="K54" s="220">
        <f t="shared" si="9"/>
        <v>0.05833003562</v>
      </c>
      <c r="L54" s="220">
        <f t="shared" si="10"/>
        <v>0.06814404432</v>
      </c>
    </row>
    <row r="55" ht="15.75" customHeight="1">
      <c r="A55" s="38"/>
      <c r="B55" s="4">
        <v>6203.0</v>
      </c>
      <c r="C55" s="5" t="s">
        <v>66</v>
      </c>
      <c r="D55" s="35">
        <v>6672.0</v>
      </c>
      <c r="E55" s="35">
        <v>4134.0</v>
      </c>
      <c r="F55" s="35">
        <v>750.0</v>
      </c>
      <c r="G55" s="35">
        <v>828.0</v>
      </c>
      <c r="H55" s="35">
        <f t="shared" si="14"/>
        <v>12384</v>
      </c>
      <c r="I55" s="220">
        <f t="shared" si="7"/>
        <v>0.5387596899</v>
      </c>
      <c r="J55" s="220">
        <f t="shared" si="8"/>
        <v>0.3338178295</v>
      </c>
      <c r="K55" s="220">
        <f t="shared" si="9"/>
        <v>0.0605620155</v>
      </c>
      <c r="L55" s="220">
        <f t="shared" si="10"/>
        <v>0.06686046512</v>
      </c>
    </row>
    <row r="56" ht="15.75" customHeight="1">
      <c r="A56" s="38"/>
      <c r="B56" s="4">
        <v>6204.0</v>
      </c>
      <c r="C56" s="5" t="s">
        <v>67</v>
      </c>
      <c r="D56" s="35">
        <v>8854.0</v>
      </c>
      <c r="E56" s="35">
        <v>5107.0</v>
      </c>
      <c r="F56" s="35">
        <v>958.0</v>
      </c>
      <c r="G56" s="35">
        <v>941.0</v>
      </c>
      <c r="H56" s="35">
        <f t="shared" si="14"/>
        <v>15860</v>
      </c>
      <c r="I56" s="220">
        <f t="shared" si="7"/>
        <v>0.558259773</v>
      </c>
      <c r="J56" s="220">
        <f t="shared" si="8"/>
        <v>0.3220050441</v>
      </c>
      <c r="K56" s="220">
        <f t="shared" si="9"/>
        <v>0.0604035309</v>
      </c>
      <c r="L56" s="220">
        <f t="shared" si="10"/>
        <v>0.05933165195</v>
      </c>
    </row>
    <row r="57" ht="15.75" customHeight="1">
      <c r="A57" s="38"/>
      <c r="B57" s="4">
        <v>6271.0</v>
      </c>
      <c r="C57" s="5" t="s">
        <v>68</v>
      </c>
      <c r="D57" s="35">
        <v>8550.0</v>
      </c>
      <c r="E57" s="35">
        <v>3871.0</v>
      </c>
      <c r="F57" s="35">
        <v>812.0</v>
      </c>
      <c r="G57" s="35">
        <v>497.0</v>
      </c>
      <c r="H57" s="35">
        <f t="shared" si="14"/>
        <v>13730</v>
      </c>
      <c r="I57" s="220">
        <f t="shared" si="7"/>
        <v>0.6227239621</v>
      </c>
      <c r="J57" s="220">
        <f t="shared" si="8"/>
        <v>0.2819373634</v>
      </c>
      <c r="K57" s="220">
        <f t="shared" si="9"/>
        <v>0.0591405681</v>
      </c>
      <c r="L57" s="220">
        <f t="shared" si="10"/>
        <v>0.03619810634</v>
      </c>
    </row>
    <row r="58" ht="15.75" customHeight="1">
      <c r="A58" s="38"/>
      <c r="B58" s="4">
        <v>6272.0</v>
      </c>
      <c r="C58" s="5" t="s">
        <v>69</v>
      </c>
      <c r="D58" s="35">
        <v>2204.0</v>
      </c>
      <c r="E58" s="35">
        <v>2885.0</v>
      </c>
      <c r="F58" s="35">
        <v>503.0</v>
      </c>
      <c r="G58" s="35">
        <v>270.0</v>
      </c>
      <c r="H58" s="35">
        <f t="shared" si="14"/>
        <v>5862</v>
      </c>
      <c r="I58" s="220">
        <f t="shared" si="7"/>
        <v>0.3759808939</v>
      </c>
      <c r="J58" s="220">
        <f t="shared" si="8"/>
        <v>0.4921528489</v>
      </c>
      <c r="K58" s="220">
        <f t="shared" si="9"/>
        <v>0.08580689185</v>
      </c>
      <c r="L58" s="220">
        <f t="shared" si="10"/>
        <v>0.0460593654</v>
      </c>
    </row>
    <row r="59" ht="15.75" customHeight="1">
      <c r="A59" s="38"/>
      <c r="B59" s="4">
        <v>6273.0</v>
      </c>
      <c r="C59" s="5" t="s">
        <v>70</v>
      </c>
      <c r="D59" s="35">
        <v>3110.0</v>
      </c>
      <c r="E59" s="35">
        <v>1969.0</v>
      </c>
      <c r="F59" s="35">
        <v>443.0</v>
      </c>
      <c r="G59" s="35">
        <v>325.0</v>
      </c>
      <c r="H59" s="35">
        <f t="shared" si="14"/>
        <v>5847</v>
      </c>
      <c r="I59" s="220">
        <f t="shared" si="7"/>
        <v>0.5318966992</v>
      </c>
      <c r="J59" s="220">
        <f t="shared" si="8"/>
        <v>0.3367538909</v>
      </c>
      <c r="K59" s="220">
        <f t="shared" si="9"/>
        <v>0.07576534975</v>
      </c>
      <c r="L59" s="220">
        <f t="shared" si="10"/>
        <v>0.0555840602</v>
      </c>
    </row>
    <row r="60" ht="15.75" customHeight="1">
      <c r="A60" s="3"/>
      <c r="B60" s="4">
        <v>6274.0</v>
      </c>
      <c r="C60" s="5" t="s">
        <v>71</v>
      </c>
      <c r="D60" s="35">
        <v>12063.0</v>
      </c>
      <c r="E60" s="35">
        <v>2510.0</v>
      </c>
      <c r="F60" s="35">
        <v>498.0</v>
      </c>
      <c r="G60" s="35">
        <v>335.0</v>
      </c>
      <c r="H60" s="35">
        <f t="shared" si="14"/>
        <v>15406</v>
      </c>
      <c r="I60" s="220">
        <f t="shared" si="7"/>
        <v>0.7830066208</v>
      </c>
      <c r="J60" s="220">
        <f t="shared" si="8"/>
        <v>0.1629235363</v>
      </c>
      <c r="K60" s="220">
        <f t="shared" si="9"/>
        <v>0.03232506816</v>
      </c>
      <c r="L60" s="220">
        <f t="shared" si="10"/>
        <v>0.02174477476</v>
      </c>
    </row>
    <row r="61" ht="15.75" customHeight="1">
      <c r="A61" s="217"/>
      <c r="B61" s="24" t="s">
        <v>72</v>
      </c>
      <c r="C61" s="25"/>
      <c r="D61" s="56">
        <f t="shared" ref="D61:H61" si="15">SUM(D52:D60)</f>
        <v>65916</v>
      </c>
      <c r="E61" s="56">
        <f t="shared" si="15"/>
        <v>35202</v>
      </c>
      <c r="F61" s="56">
        <f t="shared" si="15"/>
        <v>7221</v>
      </c>
      <c r="G61" s="56">
        <f t="shared" si="15"/>
        <v>5211</v>
      </c>
      <c r="H61" s="56">
        <f t="shared" si="15"/>
        <v>113550</v>
      </c>
      <c r="I61" s="221">
        <f t="shared" si="7"/>
        <v>0.5805019815</v>
      </c>
      <c r="J61" s="221">
        <f t="shared" si="8"/>
        <v>0.31001321</v>
      </c>
      <c r="K61" s="221">
        <f t="shared" si="9"/>
        <v>0.06359313078</v>
      </c>
      <c r="L61" s="221">
        <f t="shared" si="10"/>
        <v>0.04589167768</v>
      </c>
    </row>
    <row r="62" ht="33.0" customHeight="1">
      <c r="A62" s="65" t="s">
        <v>73</v>
      </c>
      <c r="B62" s="64"/>
      <c r="C62" s="25"/>
      <c r="D62" s="56">
        <f t="shared" ref="D62:H62" si="16">D51+D61</f>
        <v>273498</v>
      </c>
      <c r="E62" s="56">
        <f t="shared" si="16"/>
        <v>151965</v>
      </c>
      <c r="F62" s="56">
        <f t="shared" si="16"/>
        <v>33779</v>
      </c>
      <c r="G62" s="56">
        <f t="shared" si="16"/>
        <v>33052</v>
      </c>
      <c r="H62" s="56">
        <f t="shared" si="16"/>
        <v>492294</v>
      </c>
      <c r="I62" s="221">
        <f t="shared" si="7"/>
        <v>0.555558264</v>
      </c>
      <c r="J62" s="221">
        <f t="shared" si="8"/>
        <v>0.3086874916</v>
      </c>
      <c r="K62" s="221">
        <f t="shared" si="9"/>
        <v>0.06861550212</v>
      </c>
      <c r="L62" s="221">
        <f t="shared" si="10"/>
        <v>0.0671387423</v>
      </c>
    </row>
    <row r="63" ht="33.0" customHeight="1">
      <c r="A63" s="65" t="s">
        <v>88</v>
      </c>
      <c r="B63" s="64"/>
      <c r="C63" s="25"/>
      <c r="D63" s="56">
        <f t="shared" ref="D63:H63" si="17">D22+D62</f>
        <v>285338</v>
      </c>
      <c r="E63" s="56">
        <f t="shared" si="17"/>
        <v>171015</v>
      </c>
      <c r="F63" s="56">
        <f t="shared" si="17"/>
        <v>41226</v>
      </c>
      <c r="G63" s="56">
        <f t="shared" si="17"/>
        <v>39592</v>
      </c>
      <c r="H63" s="56">
        <f t="shared" si="17"/>
        <v>534803</v>
      </c>
      <c r="I63" s="221">
        <f t="shared" si="7"/>
        <v>0.5335385179</v>
      </c>
      <c r="J63" s="221">
        <f t="shared" si="8"/>
        <v>0.3197719534</v>
      </c>
      <c r="K63" s="221">
        <f t="shared" si="9"/>
        <v>0.07708632898</v>
      </c>
      <c r="L63" s="221">
        <f t="shared" si="10"/>
        <v>0.07403099833</v>
      </c>
    </row>
    <row r="64" ht="33.0" customHeight="1">
      <c r="A64" s="65" t="s">
        <v>18</v>
      </c>
      <c r="B64" s="64"/>
      <c r="C64" s="25"/>
      <c r="D64" s="222">
        <f>D63/H63</f>
        <v>0.5335385179</v>
      </c>
      <c r="E64" s="222">
        <f>E63/H63</f>
        <v>0.3197719534</v>
      </c>
      <c r="F64" s="222">
        <f>F63/H63</f>
        <v>0.07708632898</v>
      </c>
      <c r="G64" s="222">
        <f>G63/H63</f>
        <v>0.07403099833</v>
      </c>
      <c r="H64" s="222">
        <v>1.0</v>
      </c>
      <c r="I64" s="221">
        <f t="shared" si="7"/>
        <v>0.5335385179</v>
      </c>
      <c r="J64" s="221">
        <f t="shared" si="8"/>
        <v>0.3197719534</v>
      </c>
      <c r="K64" s="221">
        <f t="shared" si="9"/>
        <v>0.07708632898</v>
      </c>
      <c r="L64" s="221">
        <f t="shared" si="10"/>
        <v>0.07403099833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A6:A21"/>
    <mergeCell ref="A22:C22"/>
    <mergeCell ref="A23:A60"/>
    <mergeCell ref="B51:C51"/>
    <mergeCell ref="B61:C61"/>
    <mergeCell ref="A62:C62"/>
    <mergeCell ref="A63:C63"/>
    <mergeCell ref="A64:C6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2024-11-07T02:21:16Z</dcterms:created>
  <dc:creator>MyPC ONE PRO K5</dc:creator>
</cp:coreProperties>
</file>